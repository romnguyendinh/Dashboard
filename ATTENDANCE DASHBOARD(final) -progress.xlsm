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style2.xml" ContentType="application/vnd.ms-office.chartstyle+xml"/>
  <Override PartName="/xl/charts/colors2.xml" ContentType="application/vnd.ms-office.chartcolorstyle+xml"/>
  <Override PartName="/xl/charts/chart1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4.xml" ContentType="application/vnd.openxmlformats-officedocument.drawing+xml"/>
  <Override PartName="/xl/charts/chart17.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start.png" ContentType="image/.png"/>
  <Override PartName="/customUI/images/morning.png" ContentType="image/.png"/>
  <Override PartName="/customUI/images/stop.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2bbeebfe87e420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ING HOSPITAL\ATTENDANCE\cham cong\"/>
    </mc:Choice>
  </mc:AlternateContent>
  <bookViews>
    <workbookView xWindow="0" yWindow="0" windowWidth="20760" windowHeight="11190" tabRatio="766" activeTab="7"/>
  </bookViews>
  <sheets>
    <sheet name="DASHBOARD" sheetId="45" r:id="rId1"/>
    <sheet name="Att table" sheetId="10" r:id="rId2"/>
    <sheet name="Analyze" sheetId="42" r:id="rId3"/>
    <sheet name="Details" sheetId="43" r:id="rId4"/>
    <sheet name="Employees information" sheetId="1" r:id="rId5"/>
    <sheet name="Exception" sheetId="9" r:id="rId6"/>
    <sheet name="Chart Data " sheetId="3" r:id="rId7"/>
    <sheet name="data_sql" sheetId="36" r:id="rId8"/>
  </sheets>
  <functionGroups builtInGroupCount="18"/>
  <definedNames>
    <definedName name="_xlnm._FilterDatabase" localSheetId="1" hidden="1">'Att table'!$A$8:$AO$118</definedName>
    <definedName name="_xlnm._FilterDatabase" localSheetId="4" hidden="1">'Employees information'!$A$8:$M$85</definedName>
    <definedName name="DATA_LOG">data_sql!$A$1:$I$170</definedName>
    <definedName name="IDMACHINE">'Employees information'!$A$4:$B$114</definedName>
    <definedName name="ma_phong_ban">'Employees information'!$H$5:$I$19</definedName>
    <definedName name="Slicer_mã_phòng_ban">#N/A</definedName>
  </definedNames>
  <calcPr calcId="162913"/>
  <pivotCaches>
    <pivotCache cacheId="0"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5:slicerCaches>
    </ext>
  </extLst>
</workbook>
</file>

<file path=xl/calcChain.xml><?xml version="1.0" encoding="utf-8"?>
<calcChain xmlns="http://schemas.openxmlformats.org/spreadsheetml/2006/main">
  <c r="D21" i="42" l="1"/>
  <c r="D22" i="42"/>
  <c r="D23" i="42"/>
  <c r="D24" i="42"/>
  <c r="D25" i="42"/>
  <c r="D26" i="42"/>
  <c r="D27" i="42"/>
  <c r="D28" i="42"/>
  <c r="D29" i="42"/>
  <c r="D30" i="42"/>
  <c r="D31" i="42"/>
  <c r="D32" i="42"/>
  <c r="D33" i="42"/>
  <c r="D34" i="42"/>
  <c r="C21" i="42"/>
  <c r="C22" i="42"/>
  <c r="C23" i="42"/>
  <c r="C24" i="42"/>
  <c r="C25" i="42"/>
  <c r="C26" i="42"/>
  <c r="C27" i="42"/>
  <c r="C28" i="42"/>
  <c r="C29" i="42"/>
  <c r="C30" i="42"/>
  <c r="C31" i="42"/>
  <c r="C32" i="42"/>
  <c r="C33" i="42"/>
  <c r="C34" i="42"/>
  <c r="E3" i="43" l="1"/>
  <c r="E4" i="43"/>
  <c r="E5" i="43"/>
  <c r="I15" i="42" l="1"/>
  <c r="E172" i="43" l="1"/>
  <c r="S80" i="43" l="1" a="1"/>
  <c r="S80" i="43"/>
  <c r="T80" i="43"/>
  <c r="U80" i="43"/>
  <c r="V80" i="43"/>
  <c r="S79" i="43" a="1"/>
  <c r="U79" i="43" s="1"/>
  <c r="S79" i="43"/>
  <c r="T79" i="43"/>
  <c r="E142" i="43"/>
  <c r="V79" i="43" l="1"/>
  <c r="E122" i="43"/>
  <c r="E120" i="43"/>
  <c r="B33" i="3" l="1"/>
  <c r="E30" i="42" l="1"/>
  <c r="E21" i="42"/>
  <c r="E22" i="42" l="1"/>
  <c r="E23" i="42"/>
  <c r="E24" i="42"/>
  <c r="E25" i="42"/>
  <c r="E26" i="42"/>
  <c r="E27" i="42"/>
  <c r="E28" i="42"/>
  <c r="E29" i="42"/>
  <c r="E31" i="42"/>
  <c r="E32" i="42"/>
  <c r="E33" i="42"/>
  <c r="E34" i="42"/>
  <c r="E24" i="43" l="1"/>
  <c r="E11" i="43" l="1"/>
  <c r="E12" i="43"/>
  <c r="E13" i="43"/>
  <c r="E14" i="43"/>
  <c r="J21" i="3" l="1"/>
  <c r="F9" i="3"/>
  <c r="F8" i="3"/>
  <c r="F7" i="3"/>
  <c r="F6" i="3"/>
  <c r="F5" i="3"/>
  <c r="F4" i="3"/>
  <c r="F3" i="3"/>
  <c r="F2" i="3"/>
  <c r="E185" i="43"/>
  <c r="E184" i="43"/>
  <c r="E183" i="43"/>
  <c r="E182" i="43"/>
  <c r="E181" i="43"/>
  <c r="E180" i="43"/>
  <c r="E179" i="43"/>
  <c r="E170" i="43"/>
  <c r="E171" i="43"/>
  <c r="E157" i="43"/>
  <c r="E158" i="43"/>
  <c r="E159" i="43"/>
  <c r="E160" i="43"/>
  <c r="E161" i="43"/>
  <c r="E162" i="43"/>
  <c r="E163" i="43"/>
  <c r="E164" i="43"/>
  <c r="E143" i="43"/>
  <c r="E144" i="43"/>
  <c r="E145" i="43"/>
  <c r="E146" i="43"/>
  <c r="E147" i="43"/>
  <c r="E148" i="43"/>
  <c r="E149" i="43"/>
  <c r="E150" i="43"/>
  <c r="E129" i="43"/>
  <c r="E130" i="43"/>
  <c r="E131" i="43"/>
  <c r="E132" i="43"/>
  <c r="E133" i="43"/>
  <c r="E134" i="43"/>
  <c r="E135" i="43"/>
  <c r="E119" i="43"/>
  <c r="E121" i="43"/>
  <c r="E106" i="43"/>
  <c r="E107" i="43"/>
  <c r="E108" i="43"/>
  <c r="E109" i="43"/>
  <c r="E110" i="43"/>
  <c r="E111" i="43"/>
  <c r="E112" i="43"/>
  <c r="E94" i="43"/>
  <c r="E93" i="43"/>
  <c r="E95" i="43"/>
  <c r="E96" i="43"/>
  <c r="E97" i="43"/>
  <c r="E98" i="43"/>
  <c r="E99" i="43"/>
  <c r="E79" i="43"/>
  <c r="E80" i="43"/>
  <c r="E81" i="43"/>
  <c r="E82" i="43"/>
  <c r="E83" i="43"/>
  <c r="E84" i="43"/>
  <c r="E85" i="43"/>
  <c r="E86" i="43"/>
  <c r="E69" i="43"/>
  <c r="E70" i="43"/>
  <c r="E71" i="43"/>
  <c r="E72" i="43"/>
  <c r="E54" i="43"/>
  <c r="E55" i="43"/>
  <c r="E56" i="43"/>
  <c r="E57" i="43"/>
  <c r="E58" i="43"/>
  <c r="E59" i="43"/>
  <c r="E60" i="43"/>
  <c r="E61" i="43"/>
  <c r="E62" i="43"/>
  <c r="E26" i="43"/>
  <c r="E25" i="43"/>
  <c r="E27" i="43"/>
  <c r="E28" i="43"/>
  <c r="E29" i="43"/>
  <c r="E30" i="43"/>
  <c r="E31" i="43"/>
  <c r="E32" i="43"/>
  <c r="E33" i="43"/>
  <c r="E34" i="43"/>
  <c r="E35" i="43"/>
  <c r="E36" i="43"/>
  <c r="E37" i="43"/>
  <c r="E38" i="43"/>
  <c r="E39" i="43"/>
  <c r="E40" i="43"/>
  <c r="E41" i="43"/>
  <c r="E42" i="43"/>
  <c r="E43" i="43"/>
  <c r="E44" i="43"/>
  <c r="E45" i="43"/>
  <c r="E46" i="43"/>
  <c r="E47" i="43"/>
  <c r="E48" i="43"/>
  <c r="E15" i="43"/>
  <c r="E16" i="43"/>
  <c r="E17" i="43"/>
  <c r="E18" i="43"/>
  <c r="E2" i="43"/>
  <c r="E7" i="43" s="1"/>
  <c r="AK118" i="10"/>
  <c r="AK117" i="10"/>
  <c r="AK116" i="10"/>
  <c r="AK115" i="10"/>
  <c r="AK114" i="10"/>
  <c r="AK113" i="10"/>
  <c r="AK112" i="10"/>
  <c r="AK111" i="10"/>
  <c r="AK110" i="10"/>
  <c r="AK109" i="10"/>
  <c r="AK108" i="10"/>
  <c r="AK107" i="10"/>
  <c r="AK106" i="10"/>
  <c r="AK105" i="10"/>
  <c r="AK104" i="10"/>
  <c r="AK103" i="10"/>
  <c r="AK102" i="10"/>
  <c r="AK101" i="10"/>
  <c r="AK100" i="10"/>
  <c r="AK99" i="10"/>
  <c r="AK98" i="10"/>
  <c r="AK97" i="10"/>
  <c r="AK96" i="10"/>
  <c r="AK95" i="10"/>
  <c r="AK94" i="10"/>
  <c r="AK93" i="10"/>
  <c r="AK92" i="10"/>
  <c r="AK91" i="10"/>
  <c r="AK90" i="10"/>
  <c r="AK89" i="10"/>
  <c r="AK88" i="10"/>
  <c r="AK87" i="10"/>
  <c r="AK86" i="10"/>
  <c r="AK85" i="10"/>
  <c r="AK84" i="10"/>
  <c r="AK83" i="10"/>
  <c r="AK82" i="10"/>
  <c r="AK81" i="10"/>
  <c r="AK80" i="10"/>
  <c r="AK79" i="10"/>
  <c r="AK78" i="10"/>
  <c r="AK77" i="10"/>
  <c r="AK76" i="10"/>
  <c r="AK75" i="10"/>
  <c r="AK74" i="10"/>
  <c r="AK73" i="10"/>
  <c r="AK72" i="10"/>
  <c r="AK71" i="10"/>
  <c r="AK70" i="10"/>
  <c r="AK69" i="10"/>
  <c r="AK68" i="10"/>
  <c r="AK67" i="10"/>
  <c r="AK66" i="10"/>
  <c r="AK65" i="10"/>
  <c r="AK64" i="10"/>
  <c r="AK63" i="10"/>
  <c r="AK62" i="10"/>
  <c r="AK61" i="10"/>
  <c r="AK60" i="10"/>
  <c r="AK59" i="10"/>
  <c r="AK58" i="10"/>
  <c r="AK57" i="10"/>
  <c r="AK56" i="10"/>
  <c r="AK55" i="10"/>
  <c r="AK54" i="10"/>
  <c r="AK53" i="10"/>
  <c r="AK52" i="10"/>
  <c r="AK51" i="10"/>
  <c r="AK50" i="10"/>
  <c r="AK49" i="10"/>
  <c r="AK48" i="10"/>
  <c r="AK47" i="10"/>
  <c r="AK46" i="10"/>
  <c r="AK45" i="10"/>
  <c r="AK44" i="10"/>
  <c r="AK43" i="10"/>
  <c r="AK42" i="10"/>
  <c r="AK41" i="10"/>
  <c r="AK40" i="10"/>
  <c r="AK39" i="10"/>
  <c r="AK38" i="10"/>
  <c r="AK37" i="10"/>
  <c r="AK36" i="10"/>
  <c r="AK35" i="10"/>
  <c r="AK34" i="10"/>
  <c r="AK33" i="10"/>
  <c r="AK32" i="10"/>
  <c r="AK31" i="10"/>
  <c r="AK30" i="10"/>
  <c r="AK29" i="10"/>
  <c r="AK28" i="10"/>
  <c r="AK27" i="10"/>
  <c r="AK26" i="10"/>
  <c r="AK25" i="10"/>
  <c r="AK24" i="10"/>
  <c r="AK23" i="10"/>
  <c r="AK22" i="10"/>
  <c r="AK21" i="10"/>
  <c r="AK20" i="10"/>
  <c r="AK19" i="10"/>
  <c r="AK18" i="10"/>
  <c r="AK17" i="10"/>
  <c r="AK16" i="10"/>
  <c r="AK15" i="10"/>
  <c r="AK14" i="10"/>
  <c r="AK13" i="10"/>
  <c r="AK12" i="10"/>
  <c r="AK11" i="10"/>
  <c r="AK10" i="10"/>
  <c r="AK9" i="10"/>
  <c r="F5" i="10"/>
  <c r="E9" i="43" l="1"/>
  <c r="E8" i="43" s="1"/>
  <c r="E174" i="43"/>
  <c r="E176" i="43" s="1"/>
  <c r="E175" i="43" s="1"/>
  <c r="E114" i="43"/>
  <c r="E137" i="43"/>
  <c r="E139" i="43" s="1"/>
  <c r="E138" i="43" s="1"/>
  <c r="E166" i="43"/>
  <c r="E88" i="43"/>
  <c r="E90" i="43" s="1"/>
  <c r="E89" i="43" s="1"/>
  <c r="E152" i="43"/>
  <c r="E124" i="43"/>
  <c r="E126" i="43" s="1"/>
  <c r="E125" i="43" s="1"/>
  <c r="E101" i="43"/>
  <c r="E103" i="43" s="1"/>
  <c r="E102" i="43" s="1"/>
  <c r="E74" i="43"/>
  <c r="E76" i="43" s="1"/>
  <c r="E75" i="43" s="1"/>
  <c r="E50" i="43"/>
  <c r="E52" i="43" s="1"/>
  <c r="E51" i="43" s="1"/>
  <c r="E20" i="43"/>
  <c r="E22" i="43" s="1"/>
  <c r="E21" i="43" s="1"/>
  <c r="E64" i="43"/>
  <c r="E66" i="43" s="1"/>
  <c r="E65" i="43" s="1"/>
  <c r="G5" i="10"/>
  <c r="G6" i="10" s="1"/>
  <c r="G7" i="10" s="1"/>
  <c r="F6" i="10"/>
  <c r="F7" i="10" s="1"/>
  <c r="G25" i="42"/>
  <c r="G23" i="42"/>
  <c r="G27" i="42"/>
  <c r="G31" i="42"/>
  <c r="G33" i="42"/>
  <c r="G24" i="42"/>
  <c r="G28" i="42"/>
  <c r="G32" i="42"/>
  <c r="G29" i="42"/>
  <c r="G22" i="42"/>
  <c r="G34" i="42"/>
  <c r="G26" i="42"/>
  <c r="G30" i="42"/>
  <c r="G21" i="42"/>
  <c r="F22" i="42"/>
  <c r="F24" i="42"/>
  <c r="F26" i="42"/>
  <c r="F28" i="42"/>
  <c r="F30" i="42"/>
  <c r="F32" i="42"/>
  <c r="F34" i="42"/>
  <c r="F23" i="42"/>
  <c r="F25" i="42"/>
  <c r="F27" i="42"/>
  <c r="F29" i="42"/>
  <c r="F31" i="42"/>
  <c r="F33" i="42"/>
  <c r="F21" i="42"/>
  <c r="Y12" i="43" l="1"/>
  <c r="O24" i="3" s="1"/>
  <c r="O26" i="3" s="1"/>
  <c r="E154" i="43"/>
  <c r="E153" i="43" s="1"/>
  <c r="H5" i="10"/>
  <c r="H6" i="10" s="1"/>
  <c r="H7" i="10" s="1"/>
  <c r="I5" i="10" l="1"/>
  <c r="J5" i="10" s="1"/>
  <c r="I6" i="10"/>
  <c r="I7" i="10" s="1"/>
  <c r="J6" i="10" l="1"/>
  <c r="J7" i="10" s="1"/>
  <c r="K5" i="10"/>
  <c r="K6" i="10" l="1"/>
  <c r="K7" i="10" s="1"/>
  <c r="L5" i="10"/>
  <c r="M5" i="10" l="1"/>
  <c r="L6" i="10"/>
  <c r="L7" i="10" s="1"/>
  <c r="N5" i="10" l="1"/>
  <c r="M6" i="10"/>
  <c r="M7" i="10" s="1"/>
  <c r="N6" i="10" l="1"/>
  <c r="N7" i="10" s="1"/>
  <c r="O5" i="10"/>
  <c r="O6" i="10" l="1"/>
  <c r="O7" i="10" s="1"/>
  <c r="P5" i="10"/>
  <c r="Q5" i="10" l="1"/>
  <c r="P6" i="10"/>
  <c r="P7" i="10" s="1"/>
  <c r="R5" i="10" l="1"/>
  <c r="Q6" i="10"/>
  <c r="Q7" i="10" s="1"/>
  <c r="R6" i="10" l="1"/>
  <c r="R7" i="10" s="1"/>
  <c r="S5" i="10"/>
  <c r="S6" i="10" l="1"/>
  <c r="S7" i="10" s="1"/>
  <c r="T5" i="10"/>
  <c r="U5" i="10" l="1"/>
  <c r="T6" i="10"/>
  <c r="T7" i="10" s="1"/>
  <c r="V5" i="10" l="1"/>
  <c r="U6" i="10"/>
  <c r="U7" i="10" s="1"/>
  <c r="V6" i="10" l="1"/>
  <c r="V7" i="10" s="1"/>
  <c r="W5" i="10"/>
  <c r="W6" i="10" l="1"/>
  <c r="W7" i="10" s="1"/>
  <c r="X5" i="10"/>
  <c r="X6" i="10" l="1"/>
  <c r="X7" i="10" s="1"/>
  <c r="Y5" i="10"/>
  <c r="Z5" i="10" l="1"/>
  <c r="Y6" i="10"/>
  <c r="Y7" i="10" s="1"/>
  <c r="Z6" i="10" l="1"/>
  <c r="Z7" i="10" s="1"/>
  <c r="AA5" i="10"/>
  <c r="AA6" i="10" l="1"/>
  <c r="AA7" i="10" s="1"/>
  <c r="AB5" i="10"/>
  <c r="AC5" i="10" l="1"/>
  <c r="AB6" i="10"/>
  <c r="AB7" i="10" s="1"/>
  <c r="AD5" i="10" l="1"/>
  <c r="AC6" i="10"/>
  <c r="AC7" i="10" s="1"/>
  <c r="AD6" i="10" l="1"/>
  <c r="AD7" i="10" s="1"/>
  <c r="AE5" i="10"/>
  <c r="AE6" i="10" l="1"/>
  <c r="AE7" i="10" s="1"/>
  <c r="AF5" i="10"/>
  <c r="AG5" i="10" l="1"/>
  <c r="AF6" i="10"/>
  <c r="AF7" i="10" s="1"/>
  <c r="AH5" i="10" l="1"/>
  <c r="AG6" i="10"/>
  <c r="AG7" i="10" s="1"/>
  <c r="AH6" i="10" l="1"/>
  <c r="AH7" i="10" s="1"/>
  <c r="AI5" i="10"/>
  <c r="AI6" i="10" l="1"/>
  <c r="AI7" i="10" s="1"/>
  <c r="AJ5" i="10"/>
  <c r="AJ6" i="10" l="1"/>
  <c r="AJ7" i="10" s="1"/>
  <c r="E116" i="43"/>
  <c r="E115" i="43" s="1"/>
  <c r="E168" i="43"/>
  <c r="E167" i="43" s="1"/>
</calcChain>
</file>

<file path=xl/sharedStrings.xml><?xml version="1.0" encoding="utf-8"?>
<sst xmlns="http://schemas.openxmlformats.org/spreadsheetml/2006/main" count="2290" uniqueCount="435">
  <si>
    <t>03/8/1968</t>
  </si>
  <si>
    <t>25/4/1976</t>
  </si>
  <si>
    <t>01/01/1965</t>
  </si>
  <si>
    <t>03/3/1978</t>
  </si>
  <si>
    <t>22/9/1987</t>
  </si>
  <si>
    <t>17/10/1985</t>
  </si>
  <si>
    <t>07/01/1979</t>
  </si>
  <si>
    <t>01/02/1969</t>
  </si>
  <si>
    <t>20/6/1967</t>
  </si>
  <si>
    <t>12/3/1970</t>
  </si>
  <si>
    <t>16/6/1964</t>
  </si>
  <si>
    <t>04/12/1983</t>
  </si>
  <si>
    <t>16/01/1983</t>
  </si>
  <si>
    <t>19/3/1970</t>
  </si>
  <si>
    <t>14/11/1973</t>
  </si>
  <si>
    <t>23/7/1989</t>
  </si>
  <si>
    <t>11/8/1984</t>
  </si>
  <si>
    <t>15/5/1976</t>
  </si>
  <si>
    <t>06/6/1992</t>
  </si>
  <si>
    <t>04/11/1994</t>
  </si>
  <si>
    <t>15/9/1995</t>
  </si>
  <si>
    <t>20/12/1968</t>
  </si>
  <si>
    <t>05/8/1988</t>
  </si>
  <si>
    <t>14/10/1991</t>
  </si>
  <si>
    <t>16/8/1988</t>
  </si>
  <si>
    <t>02/12/1989</t>
  </si>
  <si>
    <t>20/8/1991</t>
  </si>
  <si>
    <t>31/12/1962</t>
  </si>
  <si>
    <t>01/4/1987</t>
  </si>
  <si>
    <t>09/3/1989</t>
  </si>
  <si>
    <t>20/3/1991</t>
  </si>
  <si>
    <t>06/9/1992</t>
  </si>
  <si>
    <t>25/8/1979</t>
  </si>
  <si>
    <t>01/01/1966</t>
  </si>
  <si>
    <t>03/4/1959</t>
  </si>
  <si>
    <t>01/4/1983</t>
  </si>
  <si>
    <t>24/12/1996</t>
  </si>
  <si>
    <t>06/3/1975</t>
  </si>
  <si>
    <t>09/11/1970</t>
  </si>
  <si>
    <t>02/12/1965</t>
  </si>
  <si>
    <t>08/12/1988</t>
  </si>
  <si>
    <t>21/3/1975</t>
  </si>
  <si>
    <t>16/01/1991</t>
  </si>
  <si>
    <t>27/6/1988</t>
  </si>
  <si>
    <t>17/9/1983</t>
  </si>
  <si>
    <t>28/8/1988</t>
  </si>
  <si>
    <t>04/4/1988</t>
  </si>
  <si>
    <t>20/02/1972</t>
  </si>
  <si>
    <t>19/11/1990</t>
  </si>
  <si>
    <t>14/11/1995</t>
  </si>
  <si>
    <t>17/6/1981</t>
  </si>
  <si>
    <t>01/5/1965</t>
  </si>
  <si>
    <t>16/8/1990</t>
  </si>
  <si>
    <t>29/4//1988</t>
  </si>
  <si>
    <t>20/8/1982</t>
  </si>
  <si>
    <t>02/3/1969</t>
  </si>
  <si>
    <t>22/02/1989</t>
  </si>
  <si>
    <t>05/7/1988</t>
  </si>
  <si>
    <t>24/4/1994</t>
  </si>
  <si>
    <t>20/4/1990</t>
  </si>
  <si>
    <t>20/10/1993</t>
  </si>
  <si>
    <t>03/4/1990</t>
  </si>
  <si>
    <t>08/6/1996</t>
  </si>
  <si>
    <t>20/4/1988</t>
  </si>
  <si>
    <t>01/5/1968</t>
  </si>
  <si>
    <t>27/7/1980</t>
  </si>
  <si>
    <t>30/12/1985</t>
  </si>
  <si>
    <t>11/9/1995</t>
  </si>
  <si>
    <t>16/3/1989</t>
  </si>
  <si>
    <t>20/10/1988</t>
  </si>
  <si>
    <t>07/6/1991</t>
  </si>
  <si>
    <t>20/12/1989</t>
  </si>
  <si>
    <t>16/11/1989</t>
  </si>
  <si>
    <t>27/3/1990</t>
  </si>
  <si>
    <t>20/6/1990</t>
  </si>
  <si>
    <t>20/6/1992</t>
  </si>
  <si>
    <t>10/10/1995</t>
  </si>
  <si>
    <t>01/02/1990</t>
  </si>
  <si>
    <t>05/3/1967</t>
  </si>
  <si>
    <t>30/4/1977</t>
  </si>
  <si>
    <t>28/3/1996</t>
  </si>
  <si>
    <t>25/08/97</t>
  </si>
  <si>
    <t>24/8/1984</t>
  </si>
  <si>
    <t>08/10/1989</t>
  </si>
  <si>
    <t>16/11/1992</t>
  </si>
  <si>
    <t>08/02/1974</t>
  </si>
  <si>
    <t>01/01/1987</t>
  </si>
  <si>
    <t>07/3/1985</t>
  </si>
  <si>
    <t>02/5/1992</t>
  </si>
  <si>
    <t>14/10/1990</t>
  </si>
  <si>
    <t>01/02/1984</t>
  </si>
  <si>
    <t>23/8/1994</t>
  </si>
  <si>
    <t>06/01/1989</t>
  </si>
  <si>
    <t>03/12/1995</t>
  </si>
  <si>
    <t>12/01/1988</t>
  </si>
  <si>
    <t>id</t>
  </si>
  <si>
    <t>Nguyễn Ba</t>
  </si>
  <si>
    <t>Huỳnh Văn Sơn</t>
  </si>
  <si>
    <t>Huỳnh Tấn Tuấn</t>
  </si>
  <si>
    <t>Bùi  Long Ẩn</t>
  </si>
  <si>
    <t>Huỳnh Thanh Chiến</t>
  </si>
  <si>
    <t>Nguyễn Văn Hiệp</t>
  </si>
  <si>
    <t>Lê Nguyễn Kim Uyên</t>
  </si>
  <si>
    <t>Nguyễn Thị Phúc</t>
  </si>
  <si>
    <t>Võ Thế Hùng</t>
  </si>
  <si>
    <t>Bùi Thị Kim Tiến</t>
  </si>
  <si>
    <t>Tăng Văn Vĩnh</t>
  </si>
  <si>
    <t>Phạm Bửu Phước</t>
  </si>
  <si>
    <t>Đinh Lý</t>
  </si>
  <si>
    <t>Lê Thị Lành</t>
  </si>
  <si>
    <t>Nguyễn Thị Thủy</t>
  </si>
  <si>
    <t>Võ Thị Hồng Hạnh</t>
  </si>
  <si>
    <t>Nguyễn Trung Nam</t>
  </si>
  <si>
    <t>Bùi Thị Hiền</t>
  </si>
  <si>
    <t>Phan Thị Quỳnh Giao</t>
  </si>
  <si>
    <t>Võ Thị Thu Hiền</t>
  </si>
  <si>
    <t>Nguyễn Thị Trang Đài</t>
  </si>
  <si>
    <t>Trương Hồ Hạ Yến</t>
  </si>
  <si>
    <t>Đặng Thị Hòa</t>
  </si>
  <si>
    <t>Huỳnh Văn Nghị</t>
  </si>
  <si>
    <t>Hoàng Văn Tiến</t>
  </si>
  <si>
    <t>Nguyễn Thị Lựu</t>
  </si>
  <si>
    <t>Nguyễn Thanh Quang</t>
  </si>
  <si>
    <t>Trương Thị Kim Chi</t>
  </si>
  <si>
    <t>Trần Thị Kiều Duyên</t>
  </si>
  <si>
    <t>Đặng Thị Lệ Hà</t>
  </si>
  <si>
    <t>Phan Thị Thúy Linh</t>
  </si>
  <si>
    <t>Nguyễn Thị Na</t>
  </si>
  <si>
    <t>Phạm Thị Thu Nguyệt</t>
  </si>
  <si>
    <t>Hà Thị Tuyết Nhung</t>
  </si>
  <si>
    <t>Nguyễn Thị Phương</t>
  </si>
  <si>
    <t>Nguyễn Văn Quân</t>
  </si>
  <si>
    <t>Nguyễn Hồng Quốc</t>
  </si>
  <si>
    <t>Nguyễn Thị Nhật Trinh</t>
  </si>
  <si>
    <t>Doãn Thị Băng Thạnh</t>
  </si>
  <si>
    <t>Nguyễn Thị Thùy</t>
  </si>
  <si>
    <t>Phan Tấn Tiến</t>
  </si>
  <si>
    <t>Nguyễn Đức Tính</t>
  </si>
  <si>
    <t>Trương Đức Minh</t>
  </si>
  <si>
    <t>Trương Thị Cẩm Phước</t>
  </si>
  <si>
    <t>Nguyễn Quang Cường</t>
  </si>
  <si>
    <t>Bùi Thị Minh Phượng</t>
  </si>
  <si>
    <t>Đoàn Thị Nhung</t>
  </si>
  <si>
    <t>Nguyễn Thị Hồng Nguyệt</t>
  </si>
  <si>
    <t>Đỗ Thị Ngọc Trinh</t>
  </si>
  <si>
    <t>Lê Thị Thanh Vân</t>
  </si>
  <si>
    <t>Hồ Thị Thu Thủy</t>
  </si>
  <si>
    <t>Trần Thị Hà My</t>
  </si>
  <si>
    <t>Dương Tấn Thọ</t>
  </si>
  <si>
    <t>Đoàn Phước Hồng</t>
  </si>
  <si>
    <t>Nguyễn Đức Gia Huy</t>
  </si>
  <si>
    <t>Trần Thị Thanh Thu</t>
  </si>
  <si>
    <t>Huỳnh Thị Diệu Hiền</t>
  </si>
  <si>
    <t>Nguyễn Trọng Hùng</t>
  </si>
  <si>
    <t>Đoàn Thị Thu Hiền</t>
  </si>
  <si>
    <t>Nguyễn Công Dưỡng</t>
  </si>
  <si>
    <t>Trần Thị Thân</t>
  </si>
  <si>
    <t>Nguyễn Thị Hồng Trang</t>
  </si>
  <si>
    <t>Nguyễn Ngọc Thủy Tiên</t>
  </si>
  <si>
    <t>Võ Trung Nở</t>
  </si>
  <si>
    <t>Nguyễn Thị Định</t>
  </si>
  <si>
    <t>Nguyễn Thị Vũ Linh</t>
  </si>
  <si>
    <t>Trần Thị Ánh Phượng</t>
  </si>
  <si>
    <t>Nguyễn Xuân Nghĩa</t>
  </si>
  <si>
    <t>Nguyễn Khánh Thịnh</t>
  </si>
  <si>
    <t>Huỳnh Thị Thu Phương</t>
  </si>
  <si>
    <t>Nguyễn Xuân Khanh</t>
  </si>
  <si>
    <t>Lê Thị Vỹ Khuyên</t>
  </si>
  <si>
    <t>Phan Thị Thu Lý</t>
  </si>
  <si>
    <t>Võ Thị Kim Uyên</t>
  </si>
  <si>
    <t>Ngô Văn Thanh Tú</t>
  </si>
  <si>
    <t>Trần Thị Nguyễn Tiến</t>
  </si>
  <si>
    <t>Nguyễn Lê Hồng Thủy</t>
  </si>
  <si>
    <t>Nguyễn Thị Anh Thúy</t>
  </si>
  <si>
    <t>Nguyễn Thị Minh Thương</t>
  </si>
  <si>
    <t>Nguyễn Mai Thi</t>
  </si>
  <si>
    <t>Nguyễn Hoàng Thu Thảo</t>
  </si>
  <si>
    <t>Hồ Thị Dương Sinh</t>
  </si>
  <si>
    <t>Trần Thị Diễm Phúc</t>
  </si>
  <si>
    <t>Nguyễn Thị Hồng Phúc</t>
  </si>
  <si>
    <t>Thiều Thị Hoài Nga</t>
  </si>
  <si>
    <t>Nguyễn Thị Họa Mi</t>
  </si>
  <si>
    <t>Phan Thị Ly Ly</t>
  </si>
  <si>
    <t>Huỳnh Thị Huệ</t>
  </si>
  <si>
    <t>Nguyễn Thị Bé Hiệp</t>
  </si>
  <si>
    <t>Nguyễn Thị Thu Hà</t>
  </si>
  <si>
    <t>Lê Thị Dung</t>
  </si>
  <si>
    <t>Lê Thị Thùy Diệu</t>
  </si>
  <si>
    <t>Lê Văn Chiến</t>
  </si>
  <si>
    <t>Nguyễn Thị Như Phượng</t>
  </si>
  <si>
    <t>Nguyễn Hữu Hoài Nam</t>
  </si>
  <si>
    <t>Phan Thị Thu Thuỷ</t>
  </si>
  <si>
    <t>Phạm Thị Thùy Liên</t>
  </si>
  <si>
    <t>STT</t>
  </si>
  <si>
    <t>HỌ TÊN</t>
  </si>
  <si>
    <t>ngày</t>
  </si>
  <si>
    <t>thứ</t>
  </si>
  <si>
    <t>số công hưởng BHXH</t>
  </si>
  <si>
    <t>tổng cộng</t>
  </si>
  <si>
    <t>số công hưởng phúc lợi</t>
  </si>
  <si>
    <t>stt</t>
  </si>
  <si>
    <t>họ tên</t>
  </si>
  <si>
    <t>chọn NV</t>
  </si>
  <si>
    <t>nguyễn đình quang minh</t>
  </si>
  <si>
    <t>trần nguyễn lê quyên</t>
  </si>
  <si>
    <t>phan thanh hau</t>
  </si>
  <si>
    <t>BAN GIAM DOC</t>
  </si>
  <si>
    <t>PHONG TC-HC quan tri</t>
  </si>
  <si>
    <t>KHOA DIEU DUONG, KSNK</t>
  </si>
  <si>
    <t>PHONG TAI CHINH - KE TOAN</t>
  </si>
  <si>
    <t>KHOA SAN</t>
  </si>
  <si>
    <t>KHOA XET NGHIEM</t>
  </si>
  <si>
    <t>KHOA NGOAI</t>
  </si>
  <si>
    <t>RANG - HAM - MAT</t>
  </si>
  <si>
    <t>Y HOC CO TRUYEN-PHCN</t>
  </si>
  <si>
    <t>KHOA YHDP</t>
  </si>
  <si>
    <t>KHOA NOI-NHI</t>
  </si>
  <si>
    <t>KHOA CHAN DOAN HINH ANH</t>
  </si>
  <si>
    <t>KHOA DUOC</t>
  </si>
  <si>
    <t>PHONG KE HOACH-TONG HOP</t>
  </si>
  <si>
    <t>BENH VIEN TRUONG CD Y TE</t>
  </si>
  <si>
    <t>Grand Total</t>
  </si>
  <si>
    <t>x/2</t>
  </si>
  <si>
    <t>x</t>
  </si>
  <si>
    <t>Phòng/khoa</t>
  </si>
  <si>
    <t>DANH SÁCH CÁN BỘ CHƯA LẤY DẤU VÂN TAY</t>
  </si>
  <si>
    <t>ID</t>
  </si>
  <si>
    <t>HỌ LÓT</t>
  </si>
  <si>
    <t>TÊN</t>
  </si>
  <si>
    <t>NĂM SINH</t>
  </si>
  <si>
    <t>GiỚI TÍNH</t>
  </si>
  <si>
    <t>PHÒNG/KHOA</t>
  </si>
  <si>
    <t>LÝ DO</t>
  </si>
  <si>
    <t>NGUYEN LE HONG</t>
  </si>
  <si>
    <t>THUY</t>
  </si>
  <si>
    <t>nữ</t>
  </si>
  <si>
    <t>DIEU DUONG</t>
  </si>
  <si>
    <t>nghỉ sinh</t>
  </si>
  <si>
    <t>PHAN THI THU</t>
  </si>
  <si>
    <t>LY</t>
  </si>
  <si>
    <t>nghỉ việc</t>
  </si>
  <si>
    <t xml:space="preserve">VO THI THU </t>
  </si>
  <si>
    <t>HIEN</t>
  </si>
  <si>
    <t>KHOA ĐIỀU DƯỠNG</t>
  </si>
  <si>
    <t xml:space="preserve">TRUONG HO HA </t>
  </si>
  <si>
    <t>YEN</t>
  </si>
  <si>
    <t>đi học</t>
  </si>
  <si>
    <t xml:space="preserve">NGUYEN THI XUAN </t>
  </si>
  <si>
    <t>DUYEN</t>
  </si>
  <si>
    <t>KHOA DƯỢC</t>
  </si>
  <si>
    <t>VO THI ANH</t>
  </si>
  <si>
    <t>HONG</t>
  </si>
  <si>
    <t>NGUYEN THI HONG</t>
  </si>
  <si>
    <t>NGUYET</t>
  </si>
  <si>
    <t>KHOA SẢN</t>
  </si>
  <si>
    <t>chưa lấy dấu vân tay</t>
  </si>
  <si>
    <t xml:space="preserve">NGUYEN THI NGOC </t>
  </si>
  <si>
    <t>LOAN</t>
  </si>
  <si>
    <t>LE THI THANH</t>
  </si>
  <si>
    <t>VAN</t>
  </si>
  <si>
    <t xml:space="preserve">NGUYEN THI DAN </t>
  </si>
  <si>
    <t>PHUONG</t>
  </si>
  <si>
    <t xml:space="preserve">NGUYEN THI </t>
  </si>
  <si>
    <t>LUU</t>
  </si>
  <si>
    <t>KHOA XÉT NGHIỆM</t>
  </si>
  <si>
    <t>di hoc</t>
  </si>
  <si>
    <t>PHAM THI THUY</t>
  </si>
  <si>
    <t>LIEN</t>
  </si>
  <si>
    <t>NGUYEN DUC GIA</t>
  </si>
  <si>
    <t>HUY</t>
  </si>
  <si>
    <t>nam</t>
  </si>
  <si>
    <t>YHCD</t>
  </si>
  <si>
    <t>TRAN THI THANH</t>
  </si>
  <si>
    <t>THU</t>
  </si>
  <si>
    <t>chấm vào</t>
  </si>
  <si>
    <t>chấm ra</t>
  </si>
  <si>
    <t>Thời gian chấm khi đi trực:</t>
  </si>
  <si>
    <t>18:30 PM</t>
  </si>
  <si>
    <t>đến</t>
  </si>
  <si>
    <t>19:45 PM</t>
  </si>
  <si>
    <r>
      <rPr>
        <b/>
        <u/>
        <sz val="11"/>
        <color indexed="8"/>
        <rFont val="Calibri"/>
        <family val="2"/>
      </rPr>
      <t>ví dụ:</t>
    </r>
    <r>
      <rPr>
        <sz val="11"/>
        <color theme="1"/>
        <rFont val="Calibri"/>
        <family val="2"/>
        <scheme val="minor"/>
      </rPr>
      <t xml:space="preserve"> Thầy Ẩn trực từ 7:00 sáng ngày 20/6 đến 7:00 sáng ngày 21/6 thì sẽ "chấm vào" trong khoảng thời gian
từ 18:30 đến 19:45 ngày 20/6, "chấm ra" lúc 6:00 đến 6:45 ngày 21/6.(có thể không cần chấm ra cũng được).  </t>
    </r>
  </si>
  <si>
    <t>PHAN THI THUY LINH</t>
  </si>
  <si>
    <t>Hồ Văn Dông</t>
  </si>
  <si>
    <t>Hàm OFFSET</t>
  </si>
  <si>
    <t>lấy rồi</t>
  </si>
  <si>
    <t>Châu Thị Ngọc Huyền</t>
  </si>
  <si>
    <t>số công
hưởng lương</t>
  </si>
  <si>
    <t>số công nghỉ không lương</t>
  </si>
  <si>
    <t>Bệnh viện đa khoa trường CĐYT Quảng Nam</t>
  </si>
  <si>
    <t>MÃ
 NV</t>
  </si>
  <si>
    <t>CHỨC 
VỤ</t>
  </si>
  <si>
    <t>Lê Công Đoàn</t>
  </si>
  <si>
    <t>Võ Thị Kim Anh</t>
  </si>
  <si>
    <t>Phan Văn Trưởng</t>
  </si>
  <si>
    <t>18/08/1998</t>
  </si>
  <si>
    <t>Nguyễn Thị Ngọc Quý</t>
  </si>
  <si>
    <t>Lê Thị Hường</t>
  </si>
  <si>
    <t>lấy cho người khác</t>
  </si>
  <si>
    <t>HO THI DIEM TRUC</t>
  </si>
  <si>
    <t>Hồ Thị Diễm Trúc</t>
  </si>
  <si>
    <t>Bùi Thị Thanh Tuyết</t>
  </si>
  <si>
    <t>Nguyễn Thị Ái Liên</t>
  </si>
  <si>
    <r>
      <t xml:space="preserve">dùng </t>
    </r>
    <r>
      <rPr>
        <sz val="11"/>
        <color rgb="FFFF0000"/>
        <rFont val="Calibri"/>
        <family val="2"/>
        <scheme val="minor"/>
      </rPr>
      <t>fill</t>
    </r>
  </si>
  <si>
    <t>SPEEDOMETTER</t>
  </si>
  <si>
    <t>Performent</t>
  </si>
  <si>
    <t>value</t>
  </si>
  <si>
    <t>Value</t>
  </si>
  <si>
    <t>label</t>
  </si>
  <si>
    <t>Pointer</t>
  </si>
  <si>
    <t>Nguyễn Thanh Hậu</t>
  </si>
  <si>
    <t>Nguyễn Phạm An Na</t>
  </si>
  <si>
    <t>Lê Thị Diệu Linh</t>
  </si>
  <si>
    <t>USERID</t>
  </si>
  <si>
    <t>CHECKTIME</t>
  </si>
  <si>
    <t>CHECKTYPE</t>
  </si>
  <si>
    <t>VERIFYCODE</t>
  </si>
  <si>
    <t>SENSORID</t>
  </si>
  <si>
    <t>Memoinfo</t>
  </si>
  <si>
    <t>WorkCode</t>
  </si>
  <si>
    <t>sn</t>
  </si>
  <si>
    <t>UserExtFmt</t>
  </si>
  <si>
    <t>WEATHER OF LOCATION</t>
  </si>
  <si>
    <t>longitude</t>
  </si>
  <si>
    <t>latitude</t>
  </si>
  <si>
    <t>kinh độ</t>
  </si>
  <si>
    <t>vĩ độ</t>
  </si>
  <si>
    <t>BẢNG CHẤM CÔNG
Tháng 3 năm 2020</t>
  </si>
  <si>
    <t>THÔNG TIN NHÂN VIÊN TRÊN MÁY CHẤM CÔNG</t>
  </si>
  <si>
    <t>Họ tên</t>
  </si>
  <si>
    <t>Ngày sinh</t>
  </si>
  <si>
    <t>Machine id</t>
  </si>
  <si>
    <t>Phòng - Khoa (viết tắt)</t>
  </si>
  <si>
    <t>BGD</t>
  </si>
  <si>
    <t>CDHA</t>
  </si>
  <si>
    <t>DD</t>
  </si>
  <si>
    <t>DU</t>
  </si>
  <si>
    <t>NG</t>
  </si>
  <si>
    <t>NO</t>
  </si>
  <si>
    <t>SA</t>
  </si>
  <si>
    <t>XN</t>
  </si>
  <si>
    <t>YHDP</t>
  </si>
  <si>
    <t>KHTH</t>
  </si>
  <si>
    <t>TCKT</t>
  </si>
  <si>
    <t>TCHC</t>
  </si>
  <si>
    <t>RHM</t>
  </si>
  <si>
    <t>YHCT</t>
  </si>
  <si>
    <t>Thống kê khoa phòng</t>
  </si>
  <si>
    <t>BVCD</t>
  </si>
  <si>
    <t>Mã phòng ban</t>
  </si>
  <si>
    <t>Ghi chú</t>
  </si>
  <si>
    <t>Nghỉ luôn</t>
  </si>
  <si>
    <t>nghỉ luôn</t>
  </si>
  <si>
    <t>Row Labels</t>
  </si>
  <si>
    <t>Nghỉ hưu</t>
  </si>
  <si>
    <t>Tháng 2</t>
  </si>
  <si>
    <t>Tháng 3</t>
  </si>
  <si>
    <t>Tháng 4</t>
  </si>
  <si>
    <t>Tháng 5</t>
  </si>
  <si>
    <t>Tháng 6</t>
  </si>
  <si>
    <t>Tháng 7</t>
  </si>
  <si>
    <t>Tháng 8</t>
  </si>
  <si>
    <t>Tháng 9</t>
  </si>
  <si>
    <t>Tháng 10</t>
  </si>
  <si>
    <t>Tháng 11</t>
  </si>
  <si>
    <t>Tháng 12</t>
  </si>
  <si>
    <t>Sum of Tháng 2</t>
  </si>
  <si>
    <t>Sum of Tháng 3</t>
  </si>
  <si>
    <t>Tháng 1</t>
  </si>
  <si>
    <t>Sum of Tháng 1</t>
  </si>
  <si>
    <t>Column2</t>
  </si>
  <si>
    <t>Column3</t>
  </si>
  <si>
    <t>Column4</t>
  </si>
  <si>
    <t>Column5</t>
  </si>
  <si>
    <t>Column6</t>
  </si>
  <si>
    <t>Column7</t>
  </si>
  <si>
    <t>Column8</t>
  </si>
  <si>
    <t>Column9</t>
  </si>
  <si>
    <t>LOG</t>
  </si>
  <si>
    <t>LOG0</t>
  </si>
  <si>
    <t>LOG1</t>
  </si>
  <si>
    <t>LOG2</t>
  </si>
  <si>
    <t>MACHINE ID</t>
  </si>
  <si>
    <t>TONG NV</t>
  </si>
  <si>
    <t>Công theo từng phòng ban</t>
  </si>
  <si>
    <t>max</t>
  </si>
  <si>
    <t>min</t>
  </si>
  <si>
    <t>Column1</t>
  </si>
  <si>
    <t>Có mặt</t>
  </si>
  <si>
    <t>% có mặt</t>
  </si>
  <si>
    <t>% vắng mặt</t>
  </si>
  <si>
    <t>Select departments</t>
  </si>
  <si>
    <t>º</t>
  </si>
  <si>
    <t>lisbox link</t>
  </si>
  <si>
    <t>INDEX(OFFSET($A$3,1,$C$20,14),MATCH(A21,$A$4:$A$17,0),1)</t>
  </si>
  <si>
    <t>hide custom format: ;;;</t>
  </si>
  <si>
    <t>ban giám đốc</t>
  </si>
  <si>
    <t>Chẩn đoán hình ảnh</t>
  </si>
  <si>
    <t>Điều dưỡng</t>
  </si>
  <si>
    <t>Dược</t>
  </si>
  <si>
    <t>Kế hoạch tổng hợp</t>
  </si>
  <si>
    <t>Sum of Tháng 4</t>
  </si>
  <si>
    <t>Sum of Tháng 5</t>
  </si>
  <si>
    <t>abc</t>
  </si>
  <si>
    <t>previous month</t>
  </si>
  <si>
    <t>Nội</t>
  </si>
  <si>
    <t>Răng-Hàm-Mặt</t>
  </si>
  <si>
    <t>Sản</t>
  </si>
  <si>
    <t>Tài chính kế toán</t>
  </si>
  <si>
    <t>Xét nghiệm</t>
  </si>
  <si>
    <t>Ngoại</t>
  </si>
  <si>
    <t>Y học cổ truyền</t>
  </si>
  <si>
    <t>Parllet color vintage</t>
  </si>
  <si>
    <t>month</t>
  </si>
  <si>
    <t>Y học dự phòng</t>
  </si>
  <si>
    <t>không lấy được fg</t>
  </si>
  <si>
    <t>Δ%</t>
  </si>
  <si>
    <t>Tong nv co mat</t>
  </si>
  <si>
    <t>e6</t>
  </si>
  <si>
    <t>e19</t>
  </si>
  <si>
    <t>tam ki, quang nam</t>
  </si>
  <si>
    <t>Tam Kỳ, Quang Nam Province, Vietnam</t>
  </si>
  <si>
    <t>1</t>
  </si>
  <si>
    <t>0</t>
  </si>
  <si>
    <t>AICD180960022</t>
  </si>
  <si>
    <t>I</t>
  </si>
  <si>
    <t xml:space="preserve">chua lay </t>
  </si>
  <si>
    <t>chua lay</t>
  </si>
  <si>
    <t>Lê Thị Hằng</t>
  </si>
  <si>
    <t>15/07/1981</t>
  </si>
  <si>
    <t>Trịnh Thị Thùy Sa</t>
  </si>
  <si>
    <t>26/6/1994</t>
  </si>
  <si>
    <t>Tháng 6 năm 2020</t>
  </si>
  <si>
    <t>Sum of Tháng 6</t>
  </si>
  <si>
    <t>Sum of Tháng 7</t>
  </si>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</sst>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dd/m/yyyy"/>
    <numFmt numFmtId="165" formatCode="mm/d/yyyy"/>
    <numFmt numFmtId="166" formatCode="mm/dd/yyyy"/>
    <numFmt numFmtId="167" formatCode="dd"/>
    <numFmt numFmtId="168" formatCode="0.000"/>
    <numFmt numFmtId="169" formatCode="[$-F800]dddd\,\ mmmm\ dd\,\ yyyy"/>
    <numFmt numFmtId="170" formatCode="0.0"/>
    <numFmt numFmtId="171" formatCode="0.0000000"/>
  </numFmts>
  <fonts count="30" x14ac:knownFonts="1">
    <font>
      <sz val="11"/>
      <color theme="1"/>
      <name val="Calibri"/>
      <family val="2"/>
      <scheme val="minor"/>
    </font>
    <font>
      <sz val="11"/>
      <name val="Times New Roman"/>
      <family val="1"/>
    </font>
    <font>
      <b/>
      <sz val="11"/>
      <name val="Times New Roman"/>
      <family val="1"/>
    </font>
    <font>
      <sz val="11"/>
      <color rgb="FF000000"/>
      <name val="Times New Roman"/>
      <family val="1"/>
    </font>
    <font>
      <sz val="11"/>
      <color indexed="8"/>
      <name val="Times New Roman"/>
      <family val="1"/>
    </font>
    <font>
      <b/>
      <sz val="11"/>
      <color theme="1"/>
      <name val="Calibri"/>
      <family val="2"/>
      <scheme val="minor"/>
    </font>
    <font>
      <sz val="11"/>
      <color theme="1"/>
      <name val="Times New Roman"/>
      <family val="1"/>
    </font>
    <font>
      <sz val="8"/>
      <color theme="1"/>
      <name val="Calibri"/>
      <family val="2"/>
      <scheme val="minor"/>
    </font>
    <font>
      <sz val="10"/>
      <color indexed="72"/>
      <name val="Arial"/>
      <family val="2"/>
    </font>
    <font>
      <b/>
      <sz val="11"/>
      <color theme="1"/>
      <name val="Times New Roman"/>
      <family val="1"/>
    </font>
    <font>
      <b/>
      <u/>
      <sz val="11"/>
      <color theme="1"/>
      <name val="Times New Roman"/>
      <family val="1"/>
    </font>
    <font>
      <i/>
      <sz val="11"/>
      <name val="Times New Roman"/>
      <family val="1"/>
    </font>
    <font>
      <i/>
      <sz val="11"/>
      <color theme="1"/>
      <name val="Calibri"/>
      <family val="2"/>
      <scheme val="minor"/>
    </font>
    <font>
      <b/>
      <u/>
      <sz val="11"/>
      <color indexed="8"/>
      <name val="Calibri"/>
      <family val="2"/>
    </font>
    <font>
      <b/>
      <sz val="11"/>
      <color rgb="FFFF0000"/>
      <name val="Calibri"/>
      <family val="2"/>
      <scheme val="minor"/>
    </font>
    <font>
      <sz val="11"/>
      <color rgb="FFFF0000"/>
      <name val="Calibri"/>
      <family val="2"/>
      <scheme val="minor"/>
    </font>
    <font>
      <b/>
      <sz val="12"/>
      <color theme="1"/>
      <name val="Times New Roman"/>
      <family val="1"/>
    </font>
    <font>
      <sz val="10"/>
      <name val="Calibri"/>
      <family val="2"/>
      <scheme val="minor"/>
    </font>
    <font>
      <sz val="16"/>
      <color theme="5"/>
      <name val="Helvetica"/>
      <family val="2"/>
    </font>
    <font>
      <b/>
      <sz val="11"/>
      <color theme="1"/>
      <name val="Helvetica"/>
      <family val="2"/>
    </font>
    <font>
      <b/>
      <sz val="11"/>
      <color theme="0"/>
      <name val="Helvetica"/>
      <family val="2"/>
    </font>
    <font>
      <b/>
      <sz val="11"/>
      <color theme="0"/>
      <name val="Calibri"/>
      <family val="2"/>
      <scheme val="minor"/>
    </font>
    <font>
      <b/>
      <sz val="11"/>
      <color theme="0"/>
      <name val="Times New Roman"/>
      <family val="1"/>
    </font>
    <font>
      <b/>
      <sz val="11"/>
      <color theme="1"/>
      <name val="Calibri"/>
      <family val="2"/>
    </font>
    <font>
      <sz val="11"/>
      <color theme="1"/>
      <name val="Calibri"/>
      <family val="2"/>
    </font>
    <font>
      <b/>
      <sz val="11"/>
      <color rgb="FFFFFBF7"/>
      <name val="Calibri"/>
      <family val="2"/>
      <scheme val="minor"/>
    </font>
    <font>
      <sz val="11"/>
      <color theme="1"/>
      <name val="Calibri"/>
      <family val="2"/>
      <scheme val="minor"/>
    </font>
    <font>
      <sz val="9"/>
      <color theme="0"/>
      <name val="Calibri"/>
      <family val="2"/>
      <scheme val="minor"/>
    </font>
    <font>
      <u val="doubleAccounting"/>
      <sz val="11"/>
      <color theme="1"/>
      <name val="Calibri"/>
      <family val="2"/>
      <scheme val="minor"/>
    </font>
    <font>
      <sz val="11"/>
      <color theme="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1" tint="0.499984740745262"/>
        <bgColor indexed="64"/>
      </patternFill>
    </fill>
    <fill>
      <patternFill patternType="solid">
        <fgColor theme="3" tint="0.39997558519241921"/>
        <bgColor indexed="64"/>
      </patternFill>
    </fill>
    <fill>
      <patternFill patternType="solid">
        <fgColor theme="4" tint="0.59999389629810485"/>
        <bgColor theme="4" tint="0.59999389629810485"/>
      </patternFill>
    </fill>
    <fill>
      <patternFill patternType="solid">
        <fgColor theme="8"/>
        <bgColor indexed="64"/>
      </patternFill>
    </fill>
    <fill>
      <patternFill patternType="solid">
        <fgColor rgb="FFFFD296"/>
        <bgColor indexed="64"/>
      </patternFill>
    </fill>
    <fill>
      <patternFill patternType="solid">
        <fgColor rgb="FF5C9B84"/>
        <bgColor indexed="64"/>
      </patternFill>
    </fill>
    <fill>
      <patternFill patternType="solid">
        <fgColor rgb="FFDE8042"/>
        <bgColor indexed="64"/>
      </patternFill>
    </fill>
    <fill>
      <patternFill patternType="solid">
        <fgColor rgb="FF42354C"/>
        <bgColor indexed="64"/>
      </patternFill>
    </fill>
    <fill>
      <patternFill patternType="solid">
        <fgColor rgb="FFD6D0CC"/>
        <bgColor indexed="64"/>
      </patternFill>
    </fill>
    <fill>
      <patternFill patternType="solid">
        <fgColor rgb="FF2F4661"/>
        <bgColor indexed="64"/>
      </patternFill>
    </fill>
    <fill>
      <patternFill patternType="solid">
        <fgColor rgb="FFFDDFC7"/>
        <bgColor indexed="64"/>
      </patternFill>
    </fill>
    <fill>
      <patternFill patternType="solid">
        <fgColor rgb="FFFF0000"/>
        <bgColor indexed="64"/>
      </patternFill>
    </fill>
    <fill>
      <patternFill patternType="solid">
        <fgColor theme="8" tint="0.59999389629810485"/>
        <bgColor indexed="64"/>
      </patternFill>
    </fill>
  </fills>
  <borders count="3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style="thick">
        <color auto="1"/>
      </left>
      <right style="dashed">
        <color auto="1"/>
      </right>
      <top style="thick">
        <color auto="1"/>
      </top>
      <bottom style="dashed">
        <color auto="1"/>
      </bottom>
      <diagonal/>
    </border>
    <border>
      <left style="dashed">
        <color auto="1"/>
      </left>
      <right style="dashed">
        <color auto="1"/>
      </right>
      <top style="thick">
        <color auto="1"/>
      </top>
      <bottom style="dashed">
        <color auto="1"/>
      </bottom>
      <diagonal/>
    </border>
    <border>
      <left style="dashed">
        <color auto="1"/>
      </left>
      <right style="thick">
        <color auto="1"/>
      </right>
      <top style="thick">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ck">
        <color auto="1"/>
      </bottom>
      <diagonal/>
    </border>
    <border>
      <left style="dashed">
        <color auto="1"/>
      </left>
      <right/>
      <top/>
      <bottom/>
      <diagonal/>
    </border>
    <border>
      <left style="thin">
        <color indexed="64"/>
      </left>
      <right/>
      <top style="thick">
        <color auto="1"/>
      </top>
      <bottom/>
      <diagonal/>
    </border>
    <border>
      <left style="thin">
        <color theme="0"/>
      </left>
      <right/>
      <top style="thin">
        <color theme="0"/>
      </top>
      <bottom style="thin">
        <color indexed="64"/>
      </bottom>
      <diagonal/>
    </border>
    <border>
      <left style="thin">
        <color theme="0"/>
      </left>
      <right/>
      <top/>
      <bottom/>
      <diagonal/>
    </border>
    <border>
      <left/>
      <right/>
      <top style="thin">
        <color indexed="64"/>
      </top>
      <bottom/>
      <diagonal/>
    </border>
    <border>
      <left style="thin">
        <color theme="0"/>
      </left>
      <right/>
      <top style="thin">
        <color indexed="64"/>
      </top>
      <bottom/>
      <diagonal/>
    </border>
    <border>
      <left/>
      <right/>
      <top style="thin">
        <color theme="0"/>
      </top>
      <bottom/>
      <diagonal/>
    </border>
    <border>
      <left style="thin">
        <color theme="0"/>
      </left>
      <right/>
      <top style="thin">
        <color theme="0"/>
      </top>
      <bottom/>
      <diagonal/>
    </border>
    <border>
      <left/>
      <right/>
      <top style="thin">
        <color theme="0"/>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left>
      <right style="thin">
        <color theme="0"/>
      </right>
      <top style="thin">
        <color theme="0"/>
      </top>
      <bottom style="thin">
        <color indexed="64"/>
      </bottom>
      <diagonal/>
    </border>
  </borders>
  <cellStyleXfs count="2">
    <xf numFmtId="0" fontId="0" fillId="0" borderId="0"/>
    <xf numFmtId="9" fontId="26" fillId="0" borderId="0" applyFont="0" applyFill="0" applyBorder="0" applyAlignment="0" applyProtection="0"/>
  </cellStyleXfs>
  <cellXfs count="256">
    <xf numFmtId="0" fontId="0" fillId="0" borderId="0" xfId="0"/>
    <xf numFmtId="0" fontId="4" fillId="0" borderId="3" xfId="0" applyFont="1" applyBorder="1" applyAlignment="1">
      <alignment horizontal="left" vertical="center"/>
    </xf>
    <xf numFmtId="0" fontId="4" fillId="0" borderId="0" xfId="0" applyFont="1" applyFill="1" applyBorder="1" applyAlignment="1">
      <alignment horizontal="left" vertical="center"/>
    </xf>
    <xf numFmtId="0" fontId="1" fillId="0" borderId="6" xfId="0" applyFont="1" applyBorder="1" applyAlignment="1">
      <alignment horizontal="left" vertical="center"/>
    </xf>
    <xf numFmtId="0" fontId="1" fillId="0" borderId="8" xfId="0" applyFont="1" applyBorder="1" applyAlignment="1">
      <alignment horizontal="left" vertical="center"/>
    </xf>
    <xf numFmtId="0" fontId="1" fillId="2" borderId="8" xfId="0" applyFont="1" applyFill="1" applyBorder="1" applyAlignment="1">
      <alignment horizontal="left" vertical="center"/>
    </xf>
    <xf numFmtId="0" fontId="0" fillId="0" borderId="7" xfId="0" applyBorder="1"/>
    <xf numFmtId="0" fontId="0" fillId="0" borderId="8" xfId="0" applyBorder="1"/>
    <xf numFmtId="0" fontId="0" fillId="0" borderId="9" xfId="0" applyBorder="1"/>
    <xf numFmtId="0" fontId="0" fillId="0" borderId="10" xfId="0" applyBorder="1"/>
    <xf numFmtId="0" fontId="8" fillId="0" borderId="0" xfId="0" applyFont="1"/>
    <xf numFmtId="0" fontId="0" fillId="0" borderId="0" xfId="0" pivotButton="1"/>
    <xf numFmtId="0" fontId="0" fillId="0" borderId="0" xfId="0" applyAlignment="1">
      <alignment horizontal="left"/>
    </xf>
    <xf numFmtId="169" fontId="0" fillId="0" borderId="0" xfId="0" applyNumberFormat="1"/>
    <xf numFmtId="14" fontId="0" fillId="0" borderId="0" xfId="0" applyNumberFormat="1"/>
    <xf numFmtId="0" fontId="9" fillId="0" borderId="0" xfId="0" applyFont="1"/>
    <xf numFmtId="0" fontId="5" fillId="0" borderId="0" xfId="0" applyFont="1"/>
    <xf numFmtId="167" fontId="0" fillId="0" borderId="12" xfId="0" applyNumberFormat="1" applyBorder="1"/>
    <xf numFmtId="0" fontId="0" fillId="0" borderId="15" xfId="0" applyBorder="1"/>
    <xf numFmtId="0" fontId="1" fillId="0" borderId="15" xfId="0" applyFont="1" applyFill="1" applyBorder="1" applyAlignment="1">
      <alignment horizontal="left" vertical="center"/>
    </xf>
    <xf numFmtId="169" fontId="0" fillId="0" borderId="15" xfId="0" applyNumberFormat="1" applyBorder="1"/>
    <xf numFmtId="0" fontId="4" fillId="0" borderId="15" xfId="0" applyFont="1" applyFill="1" applyBorder="1" applyAlignment="1">
      <alignment horizontal="left" vertical="center"/>
    </xf>
    <xf numFmtId="0" fontId="3" fillId="0" borderId="15" xfId="0" applyFont="1" applyFill="1" applyBorder="1" applyAlignment="1"/>
    <xf numFmtId="0" fontId="0" fillId="0" borderId="18" xfId="0" applyBorder="1"/>
    <xf numFmtId="169" fontId="0" fillId="0" borderId="18" xfId="0" applyNumberFormat="1" applyBorder="1"/>
    <xf numFmtId="169" fontId="9" fillId="0" borderId="11" xfId="0" applyNumberFormat="1" applyFont="1" applyBorder="1" applyAlignment="1">
      <alignment horizontal="center"/>
    </xf>
    <xf numFmtId="169" fontId="9" fillId="0" borderId="12" xfId="0" applyNumberFormat="1" applyFont="1" applyBorder="1" applyAlignment="1">
      <alignment horizontal="center"/>
    </xf>
    <xf numFmtId="169" fontId="4" fillId="0" borderId="15" xfId="0" applyNumberFormat="1" applyFont="1" applyBorder="1" applyAlignment="1">
      <alignment horizontal="left" vertical="center"/>
    </xf>
    <xf numFmtId="169" fontId="4" fillId="0" borderId="15" xfId="0" applyNumberFormat="1" applyFont="1" applyBorder="1" applyAlignment="1">
      <alignment horizontal="center" vertical="center"/>
    </xf>
    <xf numFmtId="169" fontId="4" fillId="0" borderId="15" xfId="0" quotePrefix="1" applyNumberFormat="1" applyFont="1" applyBorder="1" applyAlignment="1"/>
    <xf numFmtId="169" fontId="1" fillId="0" borderId="15" xfId="0" applyNumberFormat="1" applyFont="1" applyFill="1" applyBorder="1" applyAlignment="1">
      <alignment horizontal="center" vertical="center"/>
    </xf>
    <xf numFmtId="169" fontId="1" fillId="0" borderId="15" xfId="0" applyNumberFormat="1" applyFont="1" applyBorder="1" applyAlignment="1">
      <alignment horizontal="left" vertical="center"/>
    </xf>
    <xf numFmtId="169" fontId="1" fillId="0" borderId="15" xfId="0" applyNumberFormat="1" applyFont="1" applyBorder="1" applyAlignment="1">
      <alignment horizontal="center" vertical="center"/>
    </xf>
    <xf numFmtId="169" fontId="1" fillId="0" borderId="15" xfId="0" applyNumberFormat="1" applyFont="1" applyBorder="1" applyAlignment="1">
      <alignment vertical="center"/>
    </xf>
    <xf numFmtId="169" fontId="1" fillId="0" borderId="15" xfId="0" quotePrefix="1" applyNumberFormat="1" applyFont="1" applyBorder="1" applyAlignment="1">
      <alignment vertical="center"/>
    </xf>
    <xf numFmtId="169" fontId="4" fillId="0" borderId="15" xfId="0" quotePrefix="1" applyNumberFormat="1" applyFont="1" applyBorder="1" applyAlignment="1">
      <alignment vertical="center"/>
    </xf>
    <xf numFmtId="169" fontId="1" fillId="0" borderId="15" xfId="0" applyNumberFormat="1" applyFont="1" applyFill="1" applyBorder="1" applyAlignment="1">
      <alignment horizontal="left" vertical="center"/>
    </xf>
    <xf numFmtId="0" fontId="1" fillId="0" borderId="15" xfId="0" applyFont="1" applyBorder="1" applyAlignment="1">
      <alignment horizontal="left" vertical="center"/>
    </xf>
    <xf numFmtId="0" fontId="1" fillId="0" borderId="15" xfId="0" applyFont="1" applyBorder="1" applyAlignment="1">
      <alignment horizontal="center" vertical="center"/>
    </xf>
    <xf numFmtId="0" fontId="1" fillId="0" borderId="15" xfId="0" applyFont="1" applyBorder="1" applyAlignment="1">
      <alignment vertical="center"/>
    </xf>
    <xf numFmtId="0" fontId="1" fillId="0" borderId="15" xfId="0" applyFont="1" applyFill="1" applyBorder="1" applyAlignment="1">
      <alignment horizontal="center" vertical="center"/>
    </xf>
    <xf numFmtId="169" fontId="1" fillId="0" borderId="15" xfId="0" applyNumberFormat="1" applyFont="1" applyBorder="1" applyAlignment="1">
      <alignment horizontal="center"/>
    </xf>
    <xf numFmtId="169" fontId="1" fillId="0" borderId="18" xfId="0" applyNumberFormat="1" applyFont="1" applyBorder="1" applyAlignment="1">
      <alignment horizontal="left" vertical="center"/>
    </xf>
    <xf numFmtId="169" fontId="1" fillId="0" borderId="18" xfId="0" applyNumberFormat="1" applyFont="1" applyBorder="1" applyAlignment="1">
      <alignment horizontal="center" vertical="center"/>
    </xf>
    <xf numFmtId="169" fontId="1" fillId="0" borderId="18" xfId="0" quotePrefix="1" applyNumberFormat="1" applyFont="1" applyBorder="1" applyAlignment="1">
      <alignment vertical="center"/>
    </xf>
    <xf numFmtId="169" fontId="1" fillId="0" borderId="18" xfId="0" applyNumberFormat="1" applyFont="1" applyFill="1" applyBorder="1" applyAlignment="1">
      <alignment horizontal="center" vertical="center"/>
    </xf>
    <xf numFmtId="0" fontId="0" fillId="0" borderId="2" xfId="0" applyBorder="1" applyAlignment="1">
      <alignment horizontal="center"/>
    </xf>
    <xf numFmtId="169" fontId="2" fillId="0" borderId="2" xfId="0" applyNumberFormat="1" applyFont="1" applyFill="1" applyBorder="1" applyAlignment="1">
      <alignment horizontal="center" vertical="center"/>
    </xf>
    <xf numFmtId="169" fontId="11" fillId="0" borderId="2" xfId="0" applyNumberFormat="1" applyFont="1" applyFill="1" applyBorder="1" applyAlignment="1">
      <alignment horizontal="center" vertical="center"/>
    </xf>
    <xf numFmtId="169" fontId="1" fillId="0" borderId="2" xfId="0" applyNumberFormat="1" applyFont="1" applyFill="1" applyBorder="1" applyAlignment="1">
      <alignment horizontal="center" vertical="center"/>
    </xf>
    <xf numFmtId="0" fontId="12" fillId="0" borderId="2" xfId="0" applyFont="1" applyBorder="1" applyAlignment="1">
      <alignment horizontal="center"/>
    </xf>
    <xf numFmtId="18" fontId="12" fillId="0" borderId="2" xfId="0" applyNumberFormat="1" applyFont="1" applyFill="1" applyBorder="1" applyAlignment="1">
      <alignment horizontal="center"/>
    </xf>
    <xf numFmtId="0" fontId="6" fillId="0" borderId="2" xfId="0" applyFont="1" applyFill="1" applyBorder="1" applyAlignment="1">
      <alignment horizontal="center"/>
    </xf>
    <xf numFmtId="0" fontId="0" fillId="0" borderId="0" xfId="0" applyAlignment="1">
      <alignment wrapText="1"/>
    </xf>
    <xf numFmtId="0" fontId="14" fillId="0" borderId="0" xfId="0" applyFont="1"/>
    <xf numFmtId="0" fontId="15" fillId="0" borderId="0" xfId="0" applyFont="1"/>
    <xf numFmtId="169" fontId="0" fillId="0" borderId="11" xfId="0" applyNumberFormat="1" applyBorder="1"/>
    <xf numFmtId="169" fontId="0" fillId="0" borderId="12" xfId="0" applyNumberFormat="1" applyBorder="1"/>
    <xf numFmtId="169" fontId="0" fillId="0" borderId="14" xfId="0" applyNumberFormat="1" applyBorder="1"/>
    <xf numFmtId="169" fontId="0" fillId="0" borderId="15" xfId="0" applyNumberFormat="1" applyBorder="1" applyAlignment="1">
      <alignment textRotation="90"/>
    </xf>
    <xf numFmtId="169" fontId="9" fillId="0" borderId="14" xfId="0" applyNumberFormat="1" applyFont="1" applyBorder="1" applyAlignment="1">
      <alignment horizontal="center" vertical="center"/>
    </xf>
    <xf numFmtId="169" fontId="9" fillId="0" borderId="15" xfId="0" applyNumberFormat="1" applyFont="1" applyBorder="1" applyAlignment="1">
      <alignment horizontal="center" vertical="center"/>
    </xf>
    <xf numFmtId="169" fontId="9" fillId="0" borderId="15" xfId="0" applyNumberFormat="1" applyFont="1" applyBorder="1" applyAlignment="1">
      <alignment horizontal="center" vertical="center" wrapText="1"/>
    </xf>
    <xf numFmtId="169" fontId="5" fillId="0" borderId="15" xfId="0" applyNumberFormat="1" applyFont="1" applyBorder="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169" fontId="5" fillId="0" borderId="15" xfId="0" applyNumberFormat="1" applyFont="1" applyBorder="1" applyAlignment="1">
      <alignment horizontal="center" vertical="center" wrapText="1"/>
    </xf>
    <xf numFmtId="169" fontId="5" fillId="0" borderId="16" xfId="0" applyNumberFormat="1" applyFont="1" applyBorder="1" applyAlignment="1">
      <alignment horizontal="center" vertical="center" wrapText="1"/>
    </xf>
    <xf numFmtId="169" fontId="0" fillId="0" borderId="15" xfId="0" applyNumberFormat="1" applyBorder="1" applyAlignment="1">
      <alignment wrapText="1"/>
    </xf>
    <xf numFmtId="169" fontId="0" fillId="0" borderId="16" xfId="0" applyNumberFormat="1" applyBorder="1" applyAlignment="1">
      <alignment wrapText="1"/>
    </xf>
    <xf numFmtId="0" fontId="4" fillId="0" borderId="18" xfId="0" applyFont="1" applyFill="1" applyBorder="1" applyAlignment="1">
      <alignment horizontal="left" vertical="center"/>
    </xf>
    <xf numFmtId="169" fontId="0" fillId="0" borderId="18" xfId="0" applyNumberFormat="1" applyBorder="1" applyAlignment="1">
      <alignment wrapText="1"/>
    </xf>
    <xf numFmtId="169" fontId="0" fillId="0" borderId="19" xfId="0" applyNumberFormat="1" applyBorder="1" applyAlignment="1">
      <alignment wrapText="1"/>
    </xf>
    <xf numFmtId="0" fontId="1" fillId="0" borderId="0" xfId="0" applyFont="1" applyFill="1" applyBorder="1" applyAlignment="1">
      <alignment horizontal="center" vertical="center"/>
    </xf>
    <xf numFmtId="169" fontId="1" fillId="0" borderId="0" xfId="0" applyNumberFormat="1" applyFont="1" applyFill="1" applyBorder="1" applyAlignment="1">
      <alignment horizontal="center" vertical="center"/>
    </xf>
    <xf numFmtId="10" fontId="0" fillId="0" borderId="0" xfId="0" applyNumberFormat="1"/>
    <xf numFmtId="0" fontId="5" fillId="3" borderId="0" xfId="0" applyFont="1" applyFill="1" applyBorder="1"/>
    <xf numFmtId="169" fontId="0" fillId="0" borderId="0" xfId="0" applyNumberFormat="1" applyBorder="1"/>
    <xf numFmtId="169" fontId="18" fillId="0" borderId="0" xfId="0" applyNumberFormat="1" applyFont="1" applyAlignment="1">
      <alignment horizontal="center"/>
    </xf>
    <xf numFmtId="0" fontId="0" fillId="0" borderId="0" xfId="0" applyAlignment="1"/>
    <xf numFmtId="0" fontId="0" fillId="5" borderId="0" xfId="0" applyFill="1"/>
    <xf numFmtId="19" fontId="0" fillId="0" borderId="0" xfId="0" applyNumberFormat="1"/>
    <xf numFmtId="1" fontId="0" fillId="0" borderId="0" xfId="0" applyNumberFormat="1"/>
    <xf numFmtId="0" fontId="0" fillId="6" borderId="0" xfId="0" applyFill="1"/>
    <xf numFmtId="0" fontId="19" fillId="0" borderId="0" xfId="0" applyFont="1"/>
    <xf numFmtId="1" fontId="0" fillId="0" borderId="14" xfId="0" applyNumberFormat="1" applyBorder="1"/>
    <xf numFmtId="1" fontId="0" fillId="0" borderId="14" xfId="0" applyNumberFormat="1" applyFill="1" applyBorder="1"/>
    <xf numFmtId="1" fontId="0" fillId="0" borderId="17" xfId="0" applyNumberFormat="1" applyBorder="1"/>
    <xf numFmtId="1" fontId="0" fillId="0" borderId="15" xfId="0" applyNumberFormat="1" applyBorder="1"/>
    <xf numFmtId="1" fontId="0" fillId="0" borderId="18" xfId="0" applyNumberFormat="1" applyFill="1" applyBorder="1"/>
    <xf numFmtId="2" fontId="0" fillId="0" borderId="0" xfId="0" applyNumberFormat="1"/>
    <xf numFmtId="171" fontId="0" fillId="0" borderId="0" xfId="0" applyNumberFormat="1"/>
    <xf numFmtId="1" fontId="1" fillId="0" borderId="5" xfId="0" applyNumberFormat="1" applyFont="1" applyBorder="1" applyAlignment="1">
      <alignment horizontal="center" vertical="center"/>
    </xf>
    <xf numFmtId="1" fontId="1" fillId="0" borderId="7" xfId="0" applyNumberFormat="1" applyFont="1" applyBorder="1" applyAlignment="1">
      <alignment horizontal="center" vertical="center"/>
    </xf>
    <xf numFmtId="1" fontId="1" fillId="2" borderId="7" xfId="0" applyNumberFormat="1" applyFont="1" applyFill="1" applyBorder="1" applyAlignment="1">
      <alignment horizontal="center" vertical="center"/>
    </xf>
    <xf numFmtId="1" fontId="0" fillId="0" borderId="7" xfId="0" applyNumberFormat="1" applyBorder="1"/>
    <xf numFmtId="1" fontId="1" fillId="0" borderId="14" xfId="0" applyNumberFormat="1" applyFont="1" applyBorder="1" applyAlignment="1">
      <alignment horizontal="center"/>
    </xf>
    <xf numFmtId="1" fontId="1" fillId="0" borderId="14" xfId="0" applyNumberFormat="1" applyFont="1" applyBorder="1" applyAlignment="1">
      <alignment horizontal="center" vertical="center"/>
    </xf>
    <xf numFmtId="1" fontId="1" fillId="0" borderId="17" xfId="0" applyNumberFormat="1" applyFont="1" applyBorder="1" applyAlignment="1">
      <alignment horizontal="center" vertical="center"/>
    </xf>
    <xf numFmtId="170" fontId="0" fillId="0" borderId="15" xfId="0" applyNumberFormat="1" applyBorder="1"/>
    <xf numFmtId="170" fontId="0" fillId="0" borderId="18" xfId="0" applyNumberFormat="1" applyBorder="1"/>
    <xf numFmtId="19" fontId="20" fillId="0" borderId="0" xfId="0" applyNumberFormat="1" applyFont="1" applyAlignment="1">
      <alignment horizontal="center" vertical="center"/>
    </xf>
    <xf numFmtId="0" fontId="0" fillId="0" borderId="0" xfId="0" applyFill="1"/>
    <xf numFmtId="1" fontId="0" fillId="0" borderId="0" xfId="0" applyNumberFormat="1" applyFill="1"/>
    <xf numFmtId="0" fontId="0" fillId="0" borderId="4" xfId="0" applyBorder="1"/>
    <xf numFmtId="0" fontId="5" fillId="7" borderId="4" xfId="0" applyFont="1" applyFill="1" applyBorder="1" applyAlignment="1">
      <alignment horizontal="center"/>
    </xf>
    <xf numFmtId="0" fontId="4" fillId="0" borderId="4" xfId="0" applyFont="1" applyFill="1" applyBorder="1" applyAlignment="1">
      <alignment horizontal="left" vertical="center"/>
    </xf>
    <xf numFmtId="0" fontId="1" fillId="0" borderId="0" xfId="0" applyFont="1" applyFill="1" applyBorder="1" applyAlignment="1">
      <alignment horizontal="left" vertical="center"/>
    </xf>
    <xf numFmtId="0" fontId="0" fillId="0" borderId="0" xfId="0" applyFill="1" applyBorder="1"/>
    <xf numFmtId="0" fontId="6" fillId="0" borderId="0" xfId="0" applyFont="1" applyFill="1" applyBorder="1"/>
    <xf numFmtId="0" fontId="3" fillId="0" borderId="0" xfId="0" applyFont="1" applyFill="1" applyBorder="1" applyAlignment="1"/>
    <xf numFmtId="0" fontId="0" fillId="0" borderId="4" xfId="0" applyFill="1" applyBorder="1"/>
    <xf numFmtId="1" fontId="1" fillId="0" borderId="0" xfId="0" applyNumberFormat="1" applyFont="1" applyFill="1" applyBorder="1" applyAlignment="1">
      <alignment horizontal="right" vertical="center"/>
    </xf>
    <xf numFmtId="1" fontId="0" fillId="0" borderId="0" xfId="0" applyNumberFormat="1" applyFill="1" applyBorder="1" applyAlignment="1">
      <alignment horizontal="right"/>
    </xf>
    <xf numFmtId="1" fontId="1" fillId="0" borderId="4" xfId="0" applyNumberFormat="1" applyFont="1" applyFill="1" applyBorder="1" applyAlignment="1">
      <alignment horizontal="right" vertical="center"/>
    </xf>
    <xf numFmtId="14" fontId="1" fillId="0" borderId="0" xfId="0" applyNumberFormat="1" applyFont="1" applyFill="1" applyBorder="1" applyAlignment="1">
      <alignment horizontal="right" vertical="center"/>
    </xf>
    <xf numFmtId="0" fontId="1" fillId="0" borderId="0" xfId="0" applyFont="1" applyFill="1" applyBorder="1" applyAlignment="1">
      <alignment horizontal="right" vertical="center"/>
    </xf>
    <xf numFmtId="164" fontId="1" fillId="0" borderId="0" xfId="0" quotePrefix="1" applyNumberFormat="1" applyFont="1" applyFill="1" applyBorder="1" applyAlignment="1">
      <alignment horizontal="right" vertical="center"/>
    </xf>
    <xf numFmtId="0" fontId="1" fillId="0" borderId="0" xfId="0" applyFont="1" applyFill="1" applyBorder="1" applyAlignment="1">
      <alignment horizontal="right"/>
    </xf>
    <xf numFmtId="1" fontId="1" fillId="0" borderId="0" xfId="0" quotePrefix="1" applyNumberFormat="1" applyFont="1" applyFill="1" applyBorder="1" applyAlignment="1">
      <alignment horizontal="right" vertical="center"/>
    </xf>
    <xf numFmtId="0" fontId="1" fillId="0" borderId="0" xfId="0" quotePrefix="1" applyFont="1" applyFill="1" applyBorder="1" applyAlignment="1">
      <alignment horizontal="right" vertical="center"/>
    </xf>
    <xf numFmtId="14" fontId="1" fillId="0" borderId="0" xfId="0" quotePrefix="1" applyNumberFormat="1" applyFont="1" applyFill="1" applyBorder="1" applyAlignment="1">
      <alignment horizontal="right" vertical="center"/>
    </xf>
    <xf numFmtId="1" fontId="4" fillId="0" borderId="0" xfId="0" quotePrefix="1" applyNumberFormat="1" applyFont="1" applyFill="1" applyBorder="1" applyAlignment="1">
      <alignment horizontal="right" vertical="center"/>
    </xf>
    <xf numFmtId="0" fontId="4" fillId="0" borderId="0" xfId="0" quotePrefix="1" applyFont="1" applyFill="1" applyBorder="1" applyAlignment="1">
      <alignment horizontal="right" vertical="center"/>
    </xf>
    <xf numFmtId="14" fontId="4" fillId="0" borderId="0" xfId="0" quotePrefix="1" applyNumberFormat="1" applyFont="1" applyFill="1" applyBorder="1" applyAlignment="1">
      <alignment horizontal="right" vertical="center"/>
    </xf>
    <xf numFmtId="14" fontId="0" fillId="0" borderId="0" xfId="0" applyNumberFormat="1" applyFill="1" applyBorder="1" applyAlignment="1">
      <alignment horizontal="right"/>
    </xf>
    <xf numFmtId="0" fontId="0" fillId="0" borderId="0" xfId="0" applyFill="1" applyBorder="1" applyAlignment="1">
      <alignment horizontal="right"/>
    </xf>
    <xf numFmtId="169" fontId="1" fillId="0" borderId="0" xfId="0" quotePrefix="1" applyNumberFormat="1" applyFont="1" applyFill="1" applyBorder="1" applyAlignment="1">
      <alignment horizontal="right" vertical="center"/>
    </xf>
    <xf numFmtId="0" fontId="4" fillId="0" borderId="0" xfId="0" applyFont="1" applyFill="1" applyBorder="1" applyAlignment="1">
      <alignment horizontal="right" vertical="center"/>
    </xf>
    <xf numFmtId="1" fontId="4" fillId="0" borderId="0" xfId="0" applyNumberFormat="1" applyFont="1" applyFill="1" applyBorder="1" applyAlignment="1">
      <alignment horizontal="right" vertical="center"/>
    </xf>
    <xf numFmtId="0" fontId="2" fillId="0" borderId="0" xfId="0" applyFont="1" applyFill="1" applyBorder="1" applyAlignment="1">
      <alignment horizontal="right"/>
    </xf>
    <xf numFmtId="165" fontId="1" fillId="0" borderId="0" xfId="0" quotePrefix="1" applyNumberFormat="1" applyFont="1" applyFill="1" applyBorder="1" applyAlignment="1">
      <alignment horizontal="right" vertical="center"/>
    </xf>
    <xf numFmtId="166" fontId="1" fillId="0" borderId="0" xfId="0" quotePrefix="1" applyNumberFormat="1" applyFont="1" applyFill="1" applyBorder="1" applyAlignment="1">
      <alignment horizontal="right" vertical="center"/>
    </xf>
    <xf numFmtId="164" fontId="4" fillId="0" borderId="0" xfId="0" applyNumberFormat="1" applyFont="1" applyFill="1" applyBorder="1" applyAlignment="1">
      <alignment horizontal="right" vertical="center"/>
    </xf>
    <xf numFmtId="164" fontId="4" fillId="0" borderId="0" xfId="0" quotePrefix="1" applyNumberFormat="1" applyFont="1" applyFill="1" applyBorder="1" applyAlignment="1">
      <alignment horizontal="right" vertical="center"/>
    </xf>
    <xf numFmtId="14" fontId="4" fillId="0" borderId="0" xfId="0" applyNumberFormat="1" applyFont="1" applyFill="1" applyBorder="1" applyAlignment="1">
      <alignment horizontal="right" vertical="center"/>
    </xf>
    <xf numFmtId="164" fontId="1" fillId="0" borderId="0" xfId="0" applyNumberFormat="1" applyFont="1" applyFill="1" applyBorder="1" applyAlignment="1">
      <alignment horizontal="right" vertical="center"/>
    </xf>
    <xf numFmtId="166" fontId="4" fillId="0" borderId="0" xfId="0" applyNumberFormat="1" applyFont="1" applyFill="1" applyBorder="1" applyAlignment="1">
      <alignment horizontal="right" vertical="center"/>
    </xf>
    <xf numFmtId="0" fontId="4" fillId="0" borderId="0" xfId="0" applyFont="1" applyFill="1" applyBorder="1" applyAlignment="1">
      <alignment horizontal="right"/>
    </xf>
    <xf numFmtId="0" fontId="0" fillId="0" borderId="4" xfId="0" applyFill="1" applyBorder="1" applyAlignment="1">
      <alignment horizontal="right"/>
    </xf>
    <xf numFmtId="0" fontId="8" fillId="0" borderId="0" xfId="0" applyFont="1" applyFill="1" applyBorder="1" applyAlignment="1">
      <alignment horizontal="right"/>
    </xf>
    <xf numFmtId="0" fontId="0" fillId="0" borderId="0" xfId="0" applyFill="1" applyAlignment="1">
      <alignment horizontal="right"/>
    </xf>
    <xf numFmtId="0" fontId="17" fillId="0" borderId="0" xfId="0" applyFont="1" applyFill="1" applyAlignment="1">
      <alignment horizontal="right"/>
    </xf>
    <xf numFmtId="0" fontId="8" fillId="0" borderId="0" xfId="0" applyFont="1" applyFill="1" applyAlignment="1">
      <alignment horizontal="right"/>
    </xf>
    <xf numFmtId="0" fontId="8" fillId="0" borderId="4" xfId="0" applyFont="1" applyFill="1" applyBorder="1" applyAlignment="1">
      <alignment horizontal="right"/>
    </xf>
    <xf numFmtId="0" fontId="9" fillId="0" borderId="4" xfId="0" applyFont="1" applyBorder="1"/>
    <xf numFmtId="1" fontId="0" fillId="0" borderId="4" xfId="0" applyNumberFormat="1" applyBorder="1"/>
    <xf numFmtId="0" fontId="5" fillId="7" borderId="4" xfId="0" applyFont="1" applyFill="1" applyBorder="1" applyAlignment="1">
      <alignment horizontal="center"/>
    </xf>
    <xf numFmtId="0" fontId="0" fillId="8" borderId="0" xfId="0" applyFill="1"/>
    <xf numFmtId="0" fontId="0" fillId="8" borderId="0" xfId="0" applyFill="1" applyAlignment="1">
      <alignment wrapText="1"/>
    </xf>
    <xf numFmtId="0" fontId="0" fillId="0" borderId="0" xfId="0" applyBorder="1"/>
    <xf numFmtId="0" fontId="0" fillId="0" borderId="0" xfId="0" applyBorder="1" applyAlignment="1">
      <alignment wrapText="1"/>
    </xf>
    <xf numFmtId="1" fontId="0" fillId="0" borderId="0" xfId="0" applyNumberFormat="1" applyBorder="1"/>
    <xf numFmtId="169" fontId="7" fillId="0" borderId="0" xfId="0" applyNumberFormat="1" applyFont="1" applyBorder="1" applyAlignment="1">
      <alignment vertical="center" wrapText="1"/>
    </xf>
    <xf numFmtId="169" fontId="0" fillId="0" borderId="24" xfId="0" applyNumberFormat="1" applyBorder="1"/>
    <xf numFmtId="170" fontId="0" fillId="0" borderId="0" xfId="0" applyNumberFormat="1" applyFill="1" applyBorder="1"/>
    <xf numFmtId="170" fontId="0" fillId="0" borderId="0" xfId="0" applyNumberFormat="1" applyFill="1" applyBorder="1" applyAlignment="1">
      <alignment wrapText="1"/>
    </xf>
    <xf numFmtId="170" fontId="0" fillId="0" borderId="4" xfId="0" applyNumberFormat="1" applyFill="1" applyBorder="1"/>
    <xf numFmtId="170" fontId="0" fillId="0" borderId="4" xfId="0" applyNumberFormat="1" applyFill="1" applyBorder="1" applyAlignment="1">
      <alignment wrapText="1"/>
    </xf>
    <xf numFmtId="169" fontId="0" fillId="0" borderId="0" xfId="0" applyNumberFormat="1" applyFill="1" applyBorder="1" applyAlignment="1">
      <alignment textRotation="90"/>
    </xf>
    <xf numFmtId="167" fontId="0" fillId="0" borderId="0" xfId="0" applyNumberFormat="1" applyFill="1" applyBorder="1"/>
    <xf numFmtId="0" fontId="0" fillId="0" borderId="0" xfId="0" applyFill="1" applyBorder="1" applyAlignment="1">
      <alignment wrapText="1"/>
    </xf>
    <xf numFmtId="169" fontId="0" fillId="0" borderId="0" xfId="0" applyNumberFormat="1" applyFill="1" applyBorder="1"/>
    <xf numFmtId="0" fontId="0" fillId="0" borderId="0" xfId="0" applyNumberFormat="1"/>
    <xf numFmtId="170" fontId="0" fillId="3" borderId="25" xfId="0" applyNumberFormat="1" applyFont="1" applyFill="1" applyBorder="1"/>
    <xf numFmtId="169" fontId="22" fillId="9" borderId="0" xfId="0" applyNumberFormat="1" applyFont="1" applyFill="1" applyBorder="1" applyAlignment="1">
      <alignment horizontal="center" vertical="center"/>
    </xf>
    <xf numFmtId="169" fontId="22" fillId="9" borderId="26" xfId="0" applyNumberFormat="1" applyFont="1" applyFill="1" applyBorder="1" applyAlignment="1">
      <alignment horizontal="center" vertical="center"/>
    </xf>
    <xf numFmtId="169" fontId="22" fillId="9" borderId="26" xfId="0" applyNumberFormat="1" applyFont="1" applyFill="1" applyBorder="1" applyAlignment="1">
      <alignment horizontal="center" vertical="center" wrapText="1"/>
    </xf>
    <xf numFmtId="167" fontId="21" fillId="9" borderId="26" xfId="0" applyNumberFormat="1" applyFont="1" applyFill="1" applyBorder="1" applyAlignment="1">
      <alignment vertical="center"/>
    </xf>
    <xf numFmtId="1" fontId="0" fillId="10" borderId="27" xfId="0" applyNumberFormat="1" applyFont="1" applyFill="1" applyBorder="1"/>
    <xf numFmtId="169" fontId="0" fillId="10" borderId="28" xfId="0" applyNumberFormat="1" applyFont="1" applyFill="1" applyBorder="1"/>
    <xf numFmtId="1" fontId="0" fillId="10" borderId="28" xfId="0" applyNumberFormat="1" applyFont="1" applyFill="1" applyBorder="1"/>
    <xf numFmtId="0" fontId="1" fillId="10" borderId="28" xfId="0" applyFont="1" applyFill="1" applyBorder="1" applyAlignment="1">
      <alignment horizontal="left" vertical="center"/>
    </xf>
    <xf numFmtId="170" fontId="0" fillId="10" borderId="28" xfId="0" applyNumberFormat="1" applyFont="1" applyFill="1" applyBorder="1"/>
    <xf numFmtId="1" fontId="0" fillId="3" borderId="29" xfId="0" applyNumberFormat="1" applyFont="1" applyFill="1" applyBorder="1"/>
    <xf numFmtId="169" fontId="0" fillId="3" borderId="30" xfId="0" applyNumberFormat="1" applyFont="1" applyFill="1" applyBorder="1"/>
    <xf numFmtId="1" fontId="0" fillId="3" borderId="30" xfId="0" applyNumberFormat="1" applyFont="1" applyFill="1" applyBorder="1"/>
    <xf numFmtId="0" fontId="1" fillId="3" borderId="30" xfId="0" applyFont="1" applyFill="1" applyBorder="1" applyAlignment="1">
      <alignment horizontal="left" vertical="center"/>
    </xf>
    <xf numFmtId="170" fontId="0" fillId="3" borderId="30" xfId="0" applyNumberFormat="1" applyFont="1" applyFill="1" applyBorder="1"/>
    <xf numFmtId="1" fontId="0" fillId="10" borderId="29" xfId="0" applyNumberFormat="1" applyFont="1" applyFill="1" applyBorder="1"/>
    <xf numFmtId="169" fontId="0" fillId="10" borderId="30" xfId="0" applyNumberFormat="1" applyFont="1" applyFill="1" applyBorder="1"/>
    <xf numFmtId="1" fontId="0" fillId="10" borderId="30" xfId="0" applyNumberFormat="1" applyFont="1" applyFill="1" applyBorder="1"/>
    <xf numFmtId="0" fontId="1" fillId="10" borderId="30" xfId="0" applyFont="1" applyFill="1" applyBorder="1" applyAlignment="1">
      <alignment horizontal="left" vertical="center"/>
    </xf>
    <xf numFmtId="170" fontId="0" fillId="10" borderId="30" xfId="0" applyNumberFormat="1" applyFont="1" applyFill="1" applyBorder="1"/>
    <xf numFmtId="0" fontId="8" fillId="3" borderId="30" xfId="0" applyFont="1" applyFill="1" applyBorder="1"/>
    <xf numFmtId="0" fontId="8" fillId="10" borderId="30" xfId="0" applyFont="1" applyFill="1" applyBorder="1"/>
    <xf numFmtId="0" fontId="4" fillId="3" borderId="30" xfId="0" applyFont="1" applyFill="1" applyBorder="1" applyAlignment="1">
      <alignment horizontal="left" vertical="center"/>
    </xf>
    <xf numFmtId="0" fontId="4" fillId="10" borderId="30" xfId="0" applyFont="1" applyFill="1" applyBorder="1" applyAlignment="1">
      <alignment horizontal="left" vertical="center"/>
    </xf>
    <xf numFmtId="0" fontId="3" fillId="10" borderId="30" xfId="0" applyFont="1" applyFill="1" applyBorder="1" applyAlignment="1"/>
    <xf numFmtId="1" fontId="0" fillId="3" borderId="31" xfId="0" applyNumberFormat="1" applyFont="1" applyFill="1" applyBorder="1"/>
    <xf numFmtId="169" fontId="0" fillId="3" borderId="25" xfId="0" applyNumberFormat="1" applyFont="1" applyFill="1" applyBorder="1"/>
    <xf numFmtId="1" fontId="0" fillId="3" borderId="25" xfId="0" applyNumberFormat="1" applyFont="1" applyFill="1" applyBorder="1"/>
    <xf numFmtId="0" fontId="4" fillId="3" borderId="25" xfId="0" applyFont="1" applyFill="1" applyBorder="1" applyAlignment="1">
      <alignment horizontal="left" vertical="center"/>
    </xf>
    <xf numFmtId="0" fontId="0" fillId="11" borderId="4" xfId="0" applyFill="1" applyBorder="1"/>
    <xf numFmtId="0" fontId="5" fillId="6" borderId="4" xfId="0" applyFont="1" applyFill="1" applyBorder="1" applyAlignment="1">
      <alignment horizontal="center"/>
    </xf>
    <xf numFmtId="0" fontId="0" fillId="6" borderId="4" xfId="0" applyFill="1" applyBorder="1"/>
    <xf numFmtId="0" fontId="23" fillId="6" borderId="4" xfId="0" applyFont="1" applyFill="1" applyBorder="1" applyAlignment="1">
      <alignment horizontal="center"/>
    </xf>
    <xf numFmtId="0" fontId="0" fillId="0" borderId="0" xfId="0" applyBorder="1" applyAlignment="1">
      <alignment horizontal="left"/>
    </xf>
    <xf numFmtId="0" fontId="5" fillId="0" borderId="4" xfId="0" applyFont="1" applyBorder="1"/>
    <xf numFmtId="0" fontId="5" fillId="6" borderId="4" xfId="0" applyFont="1" applyFill="1" applyBorder="1"/>
    <xf numFmtId="0" fontId="5" fillId="0" borderId="4" xfId="0" applyFont="1" applyFill="1" applyBorder="1"/>
    <xf numFmtId="0" fontId="21" fillId="11" borderId="4" xfId="0" applyFont="1" applyFill="1" applyBorder="1"/>
    <xf numFmtId="0" fontId="0" fillId="0" borderId="32" xfId="0" applyFill="1" applyBorder="1"/>
    <xf numFmtId="0" fontId="0" fillId="0" borderId="33" xfId="0" applyFill="1" applyBorder="1"/>
    <xf numFmtId="0" fontId="5" fillId="7" borderId="34" xfId="0" applyFont="1" applyFill="1" applyBorder="1" applyAlignment="1">
      <alignment horizontal="center"/>
    </xf>
    <xf numFmtId="0" fontId="0" fillId="0" borderId="33" xfId="0" applyBorder="1" applyAlignment="1">
      <alignment horizontal="left"/>
    </xf>
    <xf numFmtId="0" fontId="0" fillId="0" borderId="34" xfId="0" applyBorder="1" applyAlignment="1">
      <alignment horizontal="left"/>
    </xf>
    <xf numFmtId="9" fontId="0" fillId="0" borderId="0" xfId="0" applyNumberFormat="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24" fillId="0" borderId="0" xfId="0" applyFont="1"/>
    <xf numFmtId="0" fontId="0" fillId="18" borderId="0" xfId="0" applyFill="1"/>
    <xf numFmtId="0" fontId="0" fillId="0" borderId="4" xfId="0" applyBorder="1" applyAlignment="1">
      <alignment horizontal="center"/>
    </xf>
    <xf numFmtId="0" fontId="25" fillId="6" borderId="4" xfId="0" applyFont="1" applyFill="1" applyBorder="1" applyAlignment="1">
      <alignment horizontal="left"/>
    </xf>
    <xf numFmtId="0" fontId="0" fillId="0" borderId="0" xfId="0" applyNumberFormat="1" applyFill="1"/>
    <xf numFmtId="0" fontId="0" fillId="19" borderId="0" xfId="0" applyFill="1"/>
    <xf numFmtId="9" fontId="0" fillId="0" borderId="0" xfId="1" applyFont="1"/>
    <xf numFmtId="0" fontId="27" fillId="0" borderId="0" xfId="0" applyFont="1" applyFill="1" applyAlignment="1">
      <alignment horizontal="center" vertical="center"/>
    </xf>
    <xf numFmtId="0" fontId="27" fillId="0" borderId="0" xfId="0" applyFont="1" applyAlignment="1">
      <alignment horizontal="center"/>
    </xf>
    <xf numFmtId="170" fontId="0" fillId="3" borderId="35" xfId="0" applyNumberFormat="1" applyFont="1" applyFill="1" applyBorder="1"/>
    <xf numFmtId="1" fontId="15" fillId="0" borderId="0" xfId="0" applyNumberFormat="1" applyFont="1" applyFill="1"/>
    <xf numFmtId="0" fontId="28" fillId="0" borderId="0" xfId="0" applyFont="1"/>
    <xf numFmtId="0" fontId="27" fillId="0" borderId="0" xfId="0" applyFont="1" applyAlignment="1">
      <alignment horizontal="center" vertical="center"/>
    </xf>
    <xf numFmtId="0" fontId="29" fillId="0" borderId="0" xfId="0" applyFont="1"/>
    <xf numFmtId="0" fontId="0" fillId="0" borderId="0" xfId="0"/>
    <xf numFmtId="9" fontId="0" fillId="0" borderId="0" xfId="0" applyNumberFormat="1" applyBorder="1"/>
    <xf numFmtId="0" fontId="0" fillId="2" borderId="0" xfId="0" applyFill="1"/>
    <xf numFmtId="0" fontId="0" fillId="20" borderId="0" xfId="0" applyFill="1"/>
    <xf numFmtId="0" fontId="16" fillId="0" borderId="0" xfId="0" applyFont="1" applyAlignment="1">
      <alignment horizontal="center" wrapText="1"/>
    </xf>
    <xf numFmtId="0" fontId="0" fillId="0" borderId="22" xfId="0" applyBorder="1" applyAlignment="1">
      <alignment horizontal="center"/>
    </xf>
    <xf numFmtId="169" fontId="7" fillId="0" borderId="12" xfId="0" applyNumberFormat="1" applyFont="1" applyBorder="1" applyAlignment="1">
      <alignment horizontal="center" vertical="center" wrapText="1"/>
    </xf>
    <xf numFmtId="169" fontId="7" fillId="0" borderId="15" xfId="0" applyNumberFormat="1" applyFont="1" applyBorder="1" applyAlignment="1">
      <alignment horizontal="center" vertical="center" wrapText="1"/>
    </xf>
    <xf numFmtId="169" fontId="7" fillId="0" borderId="13" xfId="0" applyNumberFormat="1" applyFont="1" applyBorder="1" applyAlignment="1">
      <alignment horizontal="center" vertical="center" wrapText="1"/>
    </xf>
    <xf numFmtId="169" fontId="7" fillId="0" borderId="16" xfId="0" applyNumberFormat="1" applyFont="1" applyBorder="1" applyAlignment="1">
      <alignment horizontal="center" vertical="center" wrapText="1"/>
    </xf>
    <xf numFmtId="0" fontId="5" fillId="7" borderId="4" xfId="0" applyFont="1" applyFill="1" applyBorder="1" applyAlignment="1">
      <alignment horizontal="center"/>
    </xf>
    <xf numFmtId="0" fontId="6" fillId="4" borderId="15" xfId="0" applyFont="1" applyFill="1" applyBorder="1" applyAlignment="1">
      <alignment horizontal="center"/>
    </xf>
    <xf numFmtId="0" fontId="6" fillId="4" borderId="16" xfId="0" applyFont="1" applyFill="1" applyBorder="1" applyAlignment="1">
      <alignment horizontal="center"/>
    </xf>
    <xf numFmtId="0" fontId="10" fillId="0" borderId="0" xfId="0" applyFont="1" applyAlignment="1">
      <alignment horizontal="center"/>
    </xf>
    <xf numFmtId="0" fontId="9" fillId="4" borderId="12" xfId="0" applyFont="1" applyFill="1" applyBorder="1" applyAlignment="1">
      <alignment horizontal="center"/>
    </xf>
    <xf numFmtId="0" fontId="9" fillId="4" borderId="13" xfId="0" applyFont="1" applyFill="1" applyBorder="1" applyAlignment="1">
      <alignment horizontal="center"/>
    </xf>
    <xf numFmtId="168" fontId="4" fillId="4" borderId="15" xfId="0" applyNumberFormat="1" applyFont="1" applyFill="1" applyBorder="1" applyAlignment="1">
      <alignment horizontal="center" vertical="center"/>
    </xf>
    <xf numFmtId="168" fontId="4" fillId="4" borderId="16" xfId="0" applyNumberFormat="1" applyFont="1" applyFill="1" applyBorder="1" applyAlignment="1">
      <alignment horizontal="center" vertical="center"/>
    </xf>
    <xf numFmtId="0" fontId="6" fillId="4" borderId="18" xfId="0" applyFont="1" applyFill="1" applyBorder="1" applyAlignment="1">
      <alignment horizontal="center"/>
    </xf>
    <xf numFmtId="0" fontId="6" fillId="4" borderId="19" xfId="0" applyFont="1" applyFill="1" applyBorder="1" applyAlignment="1">
      <alignment horizontal="center"/>
    </xf>
    <xf numFmtId="169" fontId="2" fillId="0" borderId="20" xfId="0" applyNumberFormat="1" applyFont="1" applyFill="1" applyBorder="1" applyAlignment="1">
      <alignment horizontal="center" vertical="center"/>
    </xf>
    <xf numFmtId="169" fontId="2" fillId="0" borderId="21" xfId="0" applyNumberFormat="1" applyFont="1" applyFill="1" applyBorder="1" applyAlignment="1">
      <alignment horizontal="center" vertical="center"/>
    </xf>
    <xf numFmtId="169" fontId="2" fillId="0" borderId="1" xfId="0" applyNumberFormat="1" applyFont="1" applyFill="1" applyBorder="1" applyAlignment="1">
      <alignment horizontal="center" vertical="center"/>
    </xf>
    <xf numFmtId="0" fontId="9" fillId="0" borderId="20" xfId="0" applyFont="1" applyFill="1" applyBorder="1" applyAlignment="1">
      <alignment horizontal="center"/>
    </xf>
    <xf numFmtId="0" fontId="9" fillId="0" borderId="21" xfId="0" applyFont="1" applyFill="1" applyBorder="1" applyAlignment="1">
      <alignment horizontal="center"/>
    </xf>
    <xf numFmtId="0" fontId="9" fillId="0" borderId="1" xfId="0" applyFont="1" applyFill="1" applyBorder="1" applyAlignment="1">
      <alignment horizontal="center"/>
    </xf>
    <xf numFmtId="0" fontId="0" fillId="5" borderId="23" xfId="0" applyFill="1" applyBorder="1" applyAlignment="1">
      <alignment horizontal="center"/>
    </xf>
    <xf numFmtId="0" fontId="0" fillId="5" borderId="0" xfId="0" applyFill="1" applyAlignment="1">
      <alignment horizontal="center"/>
    </xf>
  </cellXfs>
  <cellStyles count="2">
    <cellStyle name="Normal" xfId="0" builtinId="0" customBuiltin="1"/>
    <cellStyle name="Percent" xfId="1" builtinId="5"/>
  </cellStyles>
  <dxfs count="54">
    <dxf>
      <fill>
        <patternFill>
          <bgColor theme="0" tint="-0.1499679555650502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5C9B84"/>
        </patternFill>
      </fill>
    </dxf>
    <dxf>
      <numFmt numFmtId="172" formatCode=";;;"/>
    </dxf>
    <dxf>
      <fill>
        <patternFill>
          <bgColor rgb="FF5C9B84"/>
        </patternFill>
      </fill>
    </dxf>
    <dxf>
      <numFmt numFmtId="172" formatCode=";;;"/>
    </dxf>
    <dxf>
      <fill>
        <patternFill>
          <bgColor rgb="FF5C9B84"/>
        </patternFill>
      </fill>
    </dxf>
    <dxf>
      <numFmt numFmtId="172" formatCode=";;;"/>
    </dxf>
    <dxf>
      <numFmt numFmtId="172" formatCode=";;;"/>
    </dxf>
    <dxf>
      <fill>
        <patternFill>
          <bgColor rgb="FFDE8042"/>
        </patternFill>
      </fill>
    </dxf>
    <dxf>
      <numFmt numFmtId="172" formatCode=";;;"/>
    </dxf>
    <dxf>
      <numFmt numFmtId="0" formatCode="General"/>
      <fill>
        <patternFill>
          <bgColor rgb="FFDE8042"/>
        </patternFill>
      </fill>
    </dxf>
    <dxf>
      <numFmt numFmtId="172" formatCode=";;;"/>
    </dxf>
    <dxf>
      <fill>
        <patternFill>
          <bgColor rgb="FFDE8042"/>
        </patternFill>
      </fill>
    </dxf>
    <dxf>
      <fill>
        <patternFill>
          <bgColor rgb="FFDE8042"/>
        </patternFill>
      </fill>
    </dxf>
    <dxf>
      <numFmt numFmtId="172" formatCode=";;;"/>
    </dxf>
    <dxf>
      <fill>
        <patternFill>
          <bgColor rgb="FFDE8042"/>
        </patternFill>
      </fill>
    </dxf>
    <dxf>
      <numFmt numFmtId="172" formatCode=";;;"/>
    </dxf>
    <dxf>
      <numFmt numFmtId="172" formatCode=";;;"/>
    </dxf>
    <dxf>
      <fill>
        <patternFill>
          <bgColor rgb="FF2F4661"/>
        </patternFill>
      </fill>
    </dxf>
    <dxf>
      <numFmt numFmtId="172" formatCode=";;;"/>
    </dxf>
    <dxf>
      <fill>
        <patternFill>
          <bgColor rgb="FF2F4661"/>
        </patternFill>
      </fill>
    </dxf>
    <dxf>
      <numFmt numFmtId="172" formatCode=";;;"/>
    </dxf>
    <dxf>
      <fill>
        <patternFill>
          <bgColor rgb="FF2F4661"/>
        </patternFill>
      </fill>
    </dxf>
    <dxf>
      <fill>
        <patternFill>
          <bgColor rgb="FF2F4661"/>
        </patternFill>
      </fill>
    </dxf>
    <dxf>
      <numFmt numFmtId="172" formatCode=";;;"/>
    </dxf>
    <dxf>
      <numFmt numFmtId="172" formatCode=";;;"/>
    </dxf>
    <dxf>
      <fill>
        <patternFill>
          <bgColor rgb="FF2F4661"/>
        </patternFill>
      </fill>
    </dxf>
    <dxf>
      <numFmt numFmtId="172" formatCode=";;;"/>
    </dxf>
    <dxf>
      <numFmt numFmtId="13" formatCode="0%"/>
    </dxf>
    <dxf>
      <numFmt numFmtId="0" formatCode="General"/>
    </dxf>
    <dxf>
      <numFmt numFmtId="0" formatCode="General"/>
    </dxf>
    <dxf>
      <alignment horizontal="left" vertical="bottom" textRotation="0" wrapText="0" indent="0" justifyLastLine="0" shrinkToFit="0" readingOrder="0"/>
    </dxf>
    <dxf>
      <border outline="0">
        <bottom style="thin">
          <color indexed="64"/>
        </bottom>
      </border>
    </dxf>
    <dxf>
      <border outline="0">
        <bottom style="thin">
          <color indexed="64"/>
        </bottom>
      </border>
    </dxf>
    <dxf>
      <font>
        <b/>
      </font>
      <fill>
        <patternFill patternType="solid">
          <fgColor indexed="64"/>
          <bgColor theme="3" tint="0.599993896298104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name val="Tahoma"/>
      </font>
      <fill>
        <patternFill patternType="solid">
          <fgColor auto="1"/>
          <bgColor theme="7" tint="-0.24994659260841701"/>
        </patternFill>
      </fill>
      <border diagonalUp="0" diagonalDown="0">
        <left/>
        <right/>
        <top/>
        <bottom/>
        <vertical/>
        <horizontal/>
      </border>
    </dxf>
  </dxfs>
  <tableStyles count="1" defaultTableStyle="TableStyleMedium9" defaultPivotStyle="PivotStyleLight16">
    <tableStyle name="Slicer Style 1" pivot="0" table="0" count="4">
      <tableStyleElement type="wholeTable" dxfId="53"/>
    </tableStyle>
  </tableStyles>
  <colors>
    <mruColors>
      <color rgb="FFFDDFC7"/>
      <color rgb="FF5C9B84"/>
      <color rgb="FFD6D0CC"/>
      <color rgb="FFDE8042"/>
      <color rgb="FF42354C"/>
      <color rgb="FFFFFBF7"/>
      <color rgb="FF2F4661"/>
      <color rgb="FFDE6C42"/>
      <color rgb="FF5C9B20"/>
      <color rgb="FFFCD5B5"/>
    </mruColors>
  </colors>
  <extLst>
    <ext xmlns:x14="http://schemas.microsoft.com/office/spreadsheetml/2009/9/main" uri="{46F421CA-312F-682f-3DD2-61675219B42D}">
      <x14:dxfs count="3">
        <dxf>
          <fill>
            <patternFill>
              <bgColor theme="0" tint="-0.14996795556505021"/>
            </patternFill>
          </fill>
          <border>
            <left style="thin">
              <color auto="1"/>
            </left>
            <right style="thin">
              <color auto="1"/>
            </right>
            <top style="thin">
              <color auto="1"/>
            </top>
            <bottom style="thin">
              <color auto="1"/>
            </bottom>
          </border>
        </dxf>
        <dxf>
          <fill>
            <patternFill patternType="solid">
              <bgColor theme="8" tint="-0.499984740745262"/>
            </patternFill>
          </fill>
          <border>
            <left style="thin">
              <color auto="1"/>
            </left>
            <right style="thin">
              <color auto="1"/>
            </right>
            <top style="thin">
              <color auto="1"/>
            </top>
            <bottom style="thin">
              <color auto="1"/>
            </bottom>
          </border>
        </dxf>
        <dxf>
          <fill>
            <patternFill patternType="none">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charts/_rels/chart1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187353227396513E-2"/>
          <c:y val="4.2004294917680741E-2"/>
          <c:w val="0.89019685039370078"/>
          <c:h val="0.81560304671770623"/>
        </c:manualLayout>
      </c:layout>
      <c:barChart>
        <c:barDir val="col"/>
        <c:grouping val="clustered"/>
        <c:varyColors val="0"/>
        <c:ser>
          <c:idx val="0"/>
          <c:order val="0"/>
          <c:tx>
            <c:strRef>
              <c:f>Analyze!$A$20</c:f>
              <c:strCache>
                <c:ptCount val="1"/>
                <c:pt idx="0">
                  <c:v>Select departments</c:v>
                </c:pt>
              </c:strCache>
            </c:strRef>
          </c:tx>
          <c:spPr>
            <a:solidFill>
              <a:schemeClr val="accent1"/>
            </a:solidFill>
            <a:ln>
              <a:noFill/>
            </a:ln>
            <a:effectLst/>
          </c:spPr>
          <c:invertIfNegative val="0"/>
          <c:cat>
            <c:strRef>
              <c:f>Analyze!$A$21:$A$34</c:f>
              <c:strCache>
                <c:ptCount val="14"/>
                <c:pt idx="0">
                  <c:v>BGD</c:v>
                </c:pt>
                <c:pt idx="1">
                  <c:v>CDHA</c:v>
                </c:pt>
                <c:pt idx="2">
                  <c:v>DD</c:v>
                </c:pt>
                <c:pt idx="3">
                  <c:v>DU</c:v>
                </c:pt>
                <c:pt idx="4">
                  <c:v>KHTH</c:v>
                </c:pt>
                <c:pt idx="5">
                  <c:v>NG</c:v>
                </c:pt>
                <c:pt idx="6">
                  <c:v>NO</c:v>
                </c:pt>
                <c:pt idx="7">
                  <c:v>RHM</c:v>
                </c:pt>
                <c:pt idx="8">
                  <c:v>SA</c:v>
                </c:pt>
                <c:pt idx="9">
                  <c:v>TCHC</c:v>
                </c:pt>
                <c:pt idx="10">
                  <c:v>TCKT</c:v>
                </c:pt>
                <c:pt idx="11">
                  <c:v>XN</c:v>
                </c:pt>
                <c:pt idx="12">
                  <c:v>YHCT</c:v>
                </c:pt>
                <c:pt idx="13">
                  <c:v>YHDP</c:v>
                </c:pt>
              </c:strCache>
            </c:strRef>
          </c:cat>
          <c:val>
            <c:numRef>
              <c:f>Analyze!$A$21:$A$34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73B2-40EE-A74D-08ACAF8D6F90}"/>
            </c:ext>
          </c:extLst>
        </c:ser>
        <c:ser>
          <c:idx val="1"/>
          <c:order val="1"/>
          <c:tx>
            <c:strRef>
              <c:f>Analyze!$C$20</c:f>
              <c:strCache>
                <c:ptCount val="1"/>
                <c:pt idx="0">
                  <c:v>4</c:v>
                </c:pt>
              </c:strCache>
            </c:strRef>
          </c:tx>
          <c:spPr>
            <a:blipFill>
              <a:blip xmlns:r="http://schemas.openxmlformats.org/officeDocument/2006/relationships" r:embed="rId3"/>
              <a:stretch>
                <a:fillRect/>
              </a:stretch>
            </a:blipFill>
            <a:ln>
              <a:noFill/>
            </a:ln>
            <a:effectLst/>
          </c:spPr>
          <c:invertIfNegative val="0"/>
          <c:cat>
            <c:strRef>
              <c:f>Analyze!$A$21:$A$34</c:f>
              <c:strCache>
                <c:ptCount val="14"/>
                <c:pt idx="0">
                  <c:v>BGD</c:v>
                </c:pt>
                <c:pt idx="1">
                  <c:v>CDHA</c:v>
                </c:pt>
                <c:pt idx="2">
                  <c:v>DD</c:v>
                </c:pt>
                <c:pt idx="3">
                  <c:v>DU</c:v>
                </c:pt>
                <c:pt idx="4">
                  <c:v>KHTH</c:v>
                </c:pt>
                <c:pt idx="5">
                  <c:v>NG</c:v>
                </c:pt>
                <c:pt idx="6">
                  <c:v>NO</c:v>
                </c:pt>
                <c:pt idx="7">
                  <c:v>RHM</c:v>
                </c:pt>
                <c:pt idx="8">
                  <c:v>SA</c:v>
                </c:pt>
                <c:pt idx="9">
                  <c:v>TCHC</c:v>
                </c:pt>
                <c:pt idx="10">
                  <c:v>TCKT</c:v>
                </c:pt>
                <c:pt idx="11">
                  <c:v>XN</c:v>
                </c:pt>
                <c:pt idx="12">
                  <c:v>YHCT</c:v>
                </c:pt>
                <c:pt idx="13">
                  <c:v>YHDP</c:v>
                </c:pt>
              </c:strCache>
            </c:strRef>
          </c:cat>
          <c:val>
            <c:numRef>
              <c:f>Analyze!$C$21:$C$34</c:f>
              <c:numCache>
                <c:formatCode>General</c:formatCode>
                <c:ptCount val="14"/>
                <c:pt idx="0">
                  <c:v>0</c:v>
                </c:pt>
                <c:pt idx="1">
                  <c:v>5</c:v>
                </c:pt>
                <c:pt idx="2">
                  <c:v>6.5</c:v>
                </c:pt>
                <c:pt idx="3">
                  <c:v>12.5</c:v>
                </c:pt>
                <c:pt idx="4">
                  <c:v>30</c:v>
                </c:pt>
                <c:pt idx="5">
                  <c:v>2</c:v>
                </c:pt>
                <c:pt idx="6">
                  <c:v>0</c:v>
                </c:pt>
                <c:pt idx="7">
                  <c:v>16.5</c:v>
                </c:pt>
                <c:pt idx="8">
                  <c:v>0</c:v>
                </c:pt>
                <c:pt idx="9">
                  <c:v>0</c:v>
                </c:pt>
                <c:pt idx="10">
                  <c:v>1</c:v>
                </c:pt>
                <c:pt idx="11">
                  <c:v>9.5</c:v>
                </c:pt>
                <c:pt idx="12">
                  <c:v>0</c:v>
                </c:pt>
                <c:pt idx="13">
                  <c:v>0</c:v>
                </c:pt>
              </c:numCache>
            </c:numRef>
          </c:val>
          <c:extLst>
            <c:ext xmlns:c16="http://schemas.microsoft.com/office/drawing/2014/chart" uri="{C3380CC4-5D6E-409C-BE32-E72D297353CC}">
              <c16:uniqueId val="{00000001-73B2-40EE-A74D-08ACAF8D6F90}"/>
            </c:ext>
          </c:extLst>
        </c:ser>
        <c:ser>
          <c:idx val="2"/>
          <c:order val="2"/>
          <c:tx>
            <c:strRef>
              <c:f>Analyze!$F$20</c:f>
              <c:strCache>
                <c:ptCount val="1"/>
                <c:pt idx="0">
                  <c:v>max</c:v>
                </c:pt>
              </c:strCache>
            </c:strRef>
          </c:tx>
          <c:spPr>
            <a:blipFill>
              <a:blip xmlns:r="http://schemas.openxmlformats.org/officeDocument/2006/relationships" r:embed="rId4"/>
              <a:stretch>
                <a:fillRect/>
              </a:stretch>
            </a:blipFill>
            <a:ln>
              <a:noFill/>
            </a:ln>
            <a:effectLst/>
          </c:spPr>
          <c:invertIfNegative val="0"/>
          <c:dPt>
            <c:idx val="0"/>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03-73B2-40EE-A74D-08ACAF8D6F90}"/>
              </c:ext>
            </c:extLst>
          </c:dPt>
          <c:dPt>
            <c:idx val="2"/>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05-73B2-40EE-A74D-08ACAF8D6F90}"/>
              </c:ext>
            </c:extLst>
          </c:dPt>
          <c:val>
            <c:numRef>
              <c:f>Analyze!$F$21:$F$34</c:f>
              <c:numCache>
                <c:formatCode>General</c:formatCode>
                <c:ptCount val="14"/>
                <c:pt idx="0">
                  <c:v>0</c:v>
                </c:pt>
                <c:pt idx="1">
                  <c:v>0</c:v>
                </c:pt>
                <c:pt idx="2">
                  <c:v>0</c:v>
                </c:pt>
                <c:pt idx="3">
                  <c:v>0</c:v>
                </c:pt>
                <c:pt idx="4">
                  <c:v>30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6-73B2-40EE-A74D-08ACAF8D6F90}"/>
            </c:ext>
          </c:extLst>
        </c:ser>
        <c:ser>
          <c:idx val="3"/>
          <c:order val="3"/>
          <c:tx>
            <c:strRef>
              <c:f>Analyze!$G$20</c:f>
              <c:strCache>
                <c:ptCount val="1"/>
                <c:pt idx="0">
                  <c:v>min</c:v>
                </c:pt>
              </c:strCache>
            </c:strRef>
          </c:tx>
          <c:spPr>
            <a:blipFill>
              <a:blip xmlns:r="http://schemas.openxmlformats.org/officeDocument/2006/relationships" r:embed="rId6"/>
              <a:stretch>
                <a:fillRect/>
              </a:stretch>
            </a:blipFill>
            <a:ln>
              <a:noFill/>
            </a:ln>
            <a:effectLst/>
          </c:spPr>
          <c:invertIfNegative val="0"/>
          <c:val>
            <c:numRef>
              <c:f>Analyze!$G$21:$G$34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7-73B2-40EE-A74D-08ACAF8D6F90}"/>
            </c:ext>
          </c:extLst>
        </c:ser>
        <c:dLbls>
          <c:showLegendKey val="0"/>
          <c:showVal val="0"/>
          <c:showCatName val="0"/>
          <c:showSerName val="0"/>
          <c:showPercent val="0"/>
          <c:showBubbleSize val="0"/>
        </c:dLbls>
        <c:gapWidth val="219"/>
        <c:overlap val="100"/>
        <c:axId val="1675715552"/>
        <c:axId val="1675721792"/>
      </c:barChart>
      <c:catAx>
        <c:axId val="1675715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700" b="1" i="0" u="none" strike="noStrike" kern="1200" baseline="0">
                <a:solidFill>
                  <a:srgbClr val="DE6C42"/>
                </a:solidFill>
                <a:latin typeface="+mn-lt"/>
                <a:ea typeface="+mn-ea"/>
                <a:cs typeface="+mn-cs"/>
              </a:defRPr>
            </a:pPr>
            <a:endParaRPr lang="en-US"/>
          </a:p>
        </c:txPr>
        <c:crossAx val="1675721792"/>
        <c:crosses val="autoZero"/>
        <c:auto val="1"/>
        <c:lblAlgn val="ctr"/>
        <c:lblOffset val="100"/>
        <c:noMultiLvlLbl val="0"/>
      </c:catAx>
      <c:valAx>
        <c:axId val="1675721792"/>
        <c:scaling>
          <c:orientation val="minMax"/>
          <c:max val="35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5715552"/>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a:effectLst/>
            </c:spPr>
            <c:extLst>
              <c:ext xmlns:c16="http://schemas.microsoft.com/office/drawing/2014/chart" uri="{C3380CC4-5D6E-409C-BE32-E72D297353CC}">
                <c16:uniqueId val="{00000006-7E51-47DD-8206-2682F522DEC0}"/>
              </c:ext>
            </c:extLst>
          </c:dPt>
          <c:dPt>
            <c:idx val="1"/>
            <c:bubble3D val="0"/>
            <c:spPr>
              <a:solidFill>
                <a:srgbClr val="2F4661"/>
              </a:solidFill>
              <a:ln w="76200">
                <a:solidFill>
                  <a:srgbClr val="2F4661"/>
                </a:solidFill>
              </a:ln>
              <a:effectLst/>
            </c:spPr>
            <c:extLst>
              <c:ext xmlns:c16="http://schemas.microsoft.com/office/drawing/2014/chart" uri="{C3380CC4-5D6E-409C-BE32-E72D297353CC}">
                <c16:uniqueId val="{00000008-7E51-47DD-8206-2682F522DEC0}"/>
              </c:ext>
            </c:extLst>
          </c:dPt>
          <c:cat>
            <c:strRef>
              <c:f>Details!$D$8:$D$9</c:f>
              <c:strCache>
                <c:ptCount val="2"/>
                <c:pt idx="0">
                  <c:v>% vắng mặt</c:v>
                </c:pt>
                <c:pt idx="1">
                  <c:v>% có mặt</c:v>
                </c:pt>
              </c:strCache>
            </c:strRef>
          </c:cat>
          <c:val>
            <c:numRef>
              <c:f>Details!$E$8:$E$9</c:f>
              <c:numCache>
                <c:formatCode>0%</c:formatCode>
                <c:ptCount val="2"/>
                <c:pt idx="0">
                  <c:v>1</c:v>
                </c:pt>
                <c:pt idx="1">
                  <c:v>0</c:v>
                </c:pt>
              </c:numCache>
            </c:numRef>
          </c:val>
          <c:extLst>
            <c:ext xmlns:c16="http://schemas.microsoft.com/office/drawing/2014/chart" uri="{C3380CC4-5D6E-409C-BE32-E72D297353CC}">
              <c16:uniqueId val="{00000009-7E51-47DD-8206-2682F522DEC0}"/>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solidFill>
                <a:schemeClr val="bg1"/>
              </a:solidFill>
              <a:ln w="12700">
                <a:solidFill>
                  <a:schemeClr val="bg1"/>
                </a:solidFill>
              </a:ln>
            </c:spPr>
            <c:extLst>
              <c:ext xmlns:c16="http://schemas.microsoft.com/office/drawing/2014/chart" uri="{C3380CC4-5D6E-409C-BE32-E72D297353CC}">
                <c16:uniqueId val="{00000001-6CD9-4B1F-8833-9C1FBC289A42}"/>
              </c:ext>
            </c:extLst>
          </c:dPt>
          <c:dPt>
            <c:idx val="1"/>
            <c:bubble3D val="0"/>
            <c:spPr>
              <a:solidFill>
                <a:srgbClr val="2F4661"/>
              </a:solidFill>
              <a:ln w="76200">
                <a:solidFill>
                  <a:srgbClr val="2F4661"/>
                </a:solidFill>
              </a:ln>
            </c:spPr>
            <c:extLst>
              <c:ext xmlns:c16="http://schemas.microsoft.com/office/drawing/2014/chart" uri="{C3380CC4-5D6E-409C-BE32-E72D297353CC}">
                <c16:uniqueId val="{00000003-6CD9-4B1F-8833-9C1FBC289A42}"/>
              </c:ext>
            </c:extLst>
          </c:dPt>
          <c:cat>
            <c:strRef>
              <c:f>Details!$D$21:$D$22</c:f>
              <c:strCache>
                <c:ptCount val="2"/>
                <c:pt idx="0">
                  <c:v>% vắng mặt</c:v>
                </c:pt>
                <c:pt idx="1">
                  <c:v>% có mặt</c:v>
                </c:pt>
              </c:strCache>
            </c:strRef>
          </c:cat>
          <c:val>
            <c:numRef>
              <c:f>Details!$E$21:$E$22</c:f>
              <c:numCache>
                <c:formatCode>0%</c:formatCode>
                <c:ptCount val="2"/>
                <c:pt idx="0">
                  <c:v>1</c:v>
                </c:pt>
                <c:pt idx="1">
                  <c:v>0</c:v>
                </c:pt>
              </c:numCache>
            </c:numRef>
          </c:val>
          <c:extLst>
            <c:ext xmlns:c16="http://schemas.microsoft.com/office/drawing/2014/chart" uri="{C3380CC4-5D6E-409C-BE32-E72D297353CC}">
              <c16:uniqueId val="{00000004-6CD9-4B1F-8833-9C1FBC289A4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solidFill>
                <a:schemeClr val="bg1"/>
              </a:solidFill>
              <a:ln w="12700">
                <a:solidFill>
                  <a:schemeClr val="bg1"/>
                </a:solidFill>
              </a:ln>
            </c:spPr>
            <c:extLst>
              <c:ext xmlns:c16="http://schemas.microsoft.com/office/drawing/2014/chart" uri="{C3380CC4-5D6E-409C-BE32-E72D297353CC}">
                <c16:uniqueId val="{00000001-0E5D-4AF4-B92F-04E7611BB122}"/>
              </c:ext>
            </c:extLst>
          </c:dPt>
          <c:dPt>
            <c:idx val="1"/>
            <c:bubble3D val="0"/>
            <c:spPr>
              <a:solidFill>
                <a:srgbClr val="2F4661"/>
              </a:solidFill>
              <a:ln w="76200">
                <a:solidFill>
                  <a:srgbClr val="2F4661"/>
                </a:solidFill>
              </a:ln>
            </c:spPr>
            <c:extLst>
              <c:ext xmlns:c16="http://schemas.microsoft.com/office/drawing/2014/chart" uri="{C3380CC4-5D6E-409C-BE32-E72D297353CC}">
                <c16:uniqueId val="{00000003-0E5D-4AF4-B92F-04E7611BB122}"/>
              </c:ext>
            </c:extLst>
          </c:dPt>
          <c:cat>
            <c:strRef>
              <c:f>Details!$D$51:$D$52</c:f>
              <c:strCache>
                <c:ptCount val="2"/>
                <c:pt idx="0">
                  <c:v>% vắng mặt</c:v>
                </c:pt>
                <c:pt idx="1">
                  <c:v>% có mặt</c:v>
                </c:pt>
              </c:strCache>
            </c:strRef>
          </c:cat>
          <c:val>
            <c:numRef>
              <c:f>Details!$E$51:$E$52</c:f>
              <c:numCache>
                <c:formatCode>0%</c:formatCode>
                <c:ptCount val="2"/>
                <c:pt idx="0">
                  <c:v>1</c:v>
                </c:pt>
                <c:pt idx="1">
                  <c:v>0</c:v>
                </c:pt>
              </c:numCache>
            </c:numRef>
          </c:val>
          <c:extLst>
            <c:ext xmlns:c16="http://schemas.microsoft.com/office/drawing/2014/chart" uri="{C3380CC4-5D6E-409C-BE32-E72D297353CC}">
              <c16:uniqueId val="{00000004-0E5D-4AF4-B92F-04E7611BB1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B-A5F7-4F06-9682-A34CC5FCF9A8}"/>
              </c:ext>
            </c:extLst>
          </c:dPt>
          <c:dPt>
            <c:idx val="1"/>
            <c:bubble3D val="0"/>
            <c:spPr>
              <a:solidFill>
                <a:srgbClr val="2F4661"/>
              </a:solidFill>
              <a:ln w="76200">
                <a:solidFill>
                  <a:srgbClr val="2F4661"/>
                </a:solidFill>
              </a:ln>
            </c:spPr>
            <c:extLst>
              <c:ext xmlns:c16="http://schemas.microsoft.com/office/drawing/2014/chart" uri="{C3380CC4-5D6E-409C-BE32-E72D297353CC}">
                <c16:uniqueId val="{0000000C-A5F7-4F06-9682-A34CC5FCF9A8}"/>
              </c:ext>
            </c:extLst>
          </c:dPt>
          <c:cat>
            <c:strRef>
              <c:f>Details!$D$65:$D$66</c:f>
              <c:strCache>
                <c:ptCount val="2"/>
                <c:pt idx="0">
                  <c:v>% vắng mặt</c:v>
                </c:pt>
                <c:pt idx="1">
                  <c:v>% có mặt</c:v>
                </c:pt>
              </c:strCache>
            </c:strRef>
          </c:cat>
          <c:val>
            <c:numRef>
              <c:f>Details!$E$65:$E$66</c:f>
              <c:numCache>
                <c:formatCode>0%</c:formatCode>
                <c:ptCount val="2"/>
                <c:pt idx="0">
                  <c:v>1</c:v>
                </c:pt>
                <c:pt idx="1">
                  <c:v>0</c:v>
                </c:pt>
              </c:numCache>
            </c:numRef>
          </c:val>
          <c:extLst>
            <c:ext xmlns:c16="http://schemas.microsoft.com/office/drawing/2014/chart" uri="{C3380CC4-5D6E-409C-BE32-E72D297353CC}">
              <c16:uniqueId val="{0000000A-A5F7-4F06-9682-A34CC5FCF9A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1-83D8-486F-ABF7-CFDCB9616C4A}"/>
              </c:ext>
            </c:extLst>
          </c:dPt>
          <c:dPt>
            <c:idx val="1"/>
            <c:bubble3D val="0"/>
            <c:spPr>
              <a:solidFill>
                <a:srgbClr val="2F4661"/>
              </a:solidFill>
              <a:ln w="76200">
                <a:solidFill>
                  <a:srgbClr val="2F4661"/>
                </a:solidFill>
              </a:ln>
            </c:spPr>
            <c:extLst>
              <c:ext xmlns:c16="http://schemas.microsoft.com/office/drawing/2014/chart" uri="{C3380CC4-5D6E-409C-BE32-E72D297353CC}">
                <c16:uniqueId val="{00000003-83D8-486F-ABF7-CFDCB9616C4A}"/>
              </c:ext>
            </c:extLst>
          </c:dPt>
          <c:cat>
            <c:strRef>
              <c:f>Details!$D$75:$D$76</c:f>
              <c:strCache>
                <c:ptCount val="2"/>
                <c:pt idx="0">
                  <c:v>% vắng mặt</c:v>
                </c:pt>
                <c:pt idx="1">
                  <c:v>% có mặt</c:v>
                </c:pt>
              </c:strCache>
            </c:strRef>
          </c:cat>
          <c:val>
            <c:numRef>
              <c:f>Details!$E$75:$E$76</c:f>
              <c:numCache>
                <c:formatCode>0%</c:formatCode>
                <c:ptCount val="2"/>
                <c:pt idx="0">
                  <c:v>1</c:v>
                </c:pt>
                <c:pt idx="1">
                  <c:v>0</c:v>
                </c:pt>
              </c:numCache>
            </c:numRef>
          </c:val>
          <c:extLst>
            <c:ext xmlns:c16="http://schemas.microsoft.com/office/drawing/2014/chart" uri="{C3380CC4-5D6E-409C-BE32-E72D297353CC}">
              <c16:uniqueId val="{00000004-83D8-486F-ABF7-CFDCB9616C4A}"/>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solidFill>
                <a:schemeClr val="bg1"/>
              </a:solidFill>
              <a:ln w="12700">
                <a:solidFill>
                  <a:schemeClr val="bg1"/>
                </a:solidFill>
              </a:ln>
            </c:spPr>
            <c:extLst>
              <c:ext xmlns:c16="http://schemas.microsoft.com/office/drawing/2014/chart" uri="{C3380CC4-5D6E-409C-BE32-E72D297353CC}">
                <c16:uniqueId val="{00000001-33DC-43B5-B392-904619CC909E}"/>
              </c:ext>
            </c:extLst>
          </c:dPt>
          <c:dPt>
            <c:idx val="1"/>
            <c:bubble3D val="0"/>
            <c:spPr>
              <a:solidFill>
                <a:srgbClr val="DE8042"/>
              </a:solidFill>
              <a:ln w="76200">
                <a:solidFill>
                  <a:srgbClr val="DE8042"/>
                </a:solidFill>
              </a:ln>
            </c:spPr>
            <c:extLst>
              <c:ext xmlns:c16="http://schemas.microsoft.com/office/drawing/2014/chart" uri="{C3380CC4-5D6E-409C-BE32-E72D297353CC}">
                <c16:uniqueId val="{00000003-33DC-43B5-B392-904619CC909E}"/>
              </c:ext>
            </c:extLst>
          </c:dPt>
          <c:cat>
            <c:strRef>
              <c:f>Details!$D$102:$D$103</c:f>
              <c:strCache>
                <c:ptCount val="2"/>
                <c:pt idx="0">
                  <c:v>% vắng mặt</c:v>
                </c:pt>
                <c:pt idx="1">
                  <c:v>% có mặt</c:v>
                </c:pt>
              </c:strCache>
            </c:strRef>
          </c:cat>
          <c:val>
            <c:numRef>
              <c:f>Details!$E$102:$E$103</c:f>
              <c:numCache>
                <c:formatCode>0%</c:formatCode>
                <c:ptCount val="2"/>
                <c:pt idx="0">
                  <c:v>0.85714285714285721</c:v>
                </c:pt>
                <c:pt idx="1">
                  <c:v>0.14285714285714285</c:v>
                </c:pt>
              </c:numCache>
            </c:numRef>
          </c:val>
          <c:extLst>
            <c:ext xmlns:c16="http://schemas.microsoft.com/office/drawing/2014/chart" uri="{C3380CC4-5D6E-409C-BE32-E72D297353CC}">
              <c16:uniqueId val="{00000004-33DC-43B5-B392-904619CC909E}"/>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solidFill>
                <a:schemeClr val="bg1"/>
              </a:solidFill>
              <a:ln w="12700">
                <a:solidFill>
                  <a:schemeClr val="bg1"/>
                </a:solidFill>
              </a:ln>
            </c:spPr>
            <c:extLst>
              <c:ext xmlns:c16="http://schemas.microsoft.com/office/drawing/2014/chart" uri="{C3380CC4-5D6E-409C-BE32-E72D297353CC}">
                <c16:uniqueId val="{00000001-3A48-42AA-8A3F-9FACE8B2E5FB}"/>
              </c:ext>
            </c:extLst>
          </c:dPt>
          <c:dPt>
            <c:idx val="1"/>
            <c:bubble3D val="0"/>
            <c:spPr>
              <a:solidFill>
                <a:srgbClr val="DE8042"/>
              </a:solidFill>
              <a:ln w="76200">
                <a:solidFill>
                  <a:srgbClr val="DE8042"/>
                </a:solidFill>
              </a:ln>
            </c:spPr>
            <c:extLst>
              <c:ext xmlns:c16="http://schemas.microsoft.com/office/drawing/2014/chart" uri="{C3380CC4-5D6E-409C-BE32-E72D297353CC}">
                <c16:uniqueId val="{00000003-3A48-42AA-8A3F-9FACE8B2E5FB}"/>
              </c:ext>
            </c:extLst>
          </c:dPt>
          <c:cat>
            <c:strRef>
              <c:f>Details!$D$115:$D$116</c:f>
              <c:strCache>
                <c:ptCount val="2"/>
                <c:pt idx="0">
                  <c:v>% vắng mặt</c:v>
                </c:pt>
                <c:pt idx="1">
                  <c:v>% có mặt</c:v>
                </c:pt>
              </c:strCache>
            </c:strRef>
          </c:cat>
          <c:val>
            <c:numRef>
              <c:f>Details!$E$115:$E$116</c:f>
              <c:numCache>
                <c:formatCode>0%</c:formatCode>
                <c:ptCount val="2"/>
                <c:pt idx="0">
                  <c:v>1</c:v>
                </c:pt>
                <c:pt idx="1">
                  <c:v>0</c:v>
                </c:pt>
              </c:numCache>
            </c:numRef>
          </c:val>
          <c:extLst>
            <c:ext xmlns:c16="http://schemas.microsoft.com/office/drawing/2014/chart" uri="{C3380CC4-5D6E-409C-BE32-E72D297353CC}">
              <c16:uniqueId val="{00000004-3A48-42AA-8A3F-9FACE8B2E5FB}"/>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C-3287-4488-B777-0B00804C5C6F}"/>
              </c:ext>
            </c:extLst>
          </c:dPt>
          <c:dPt>
            <c:idx val="1"/>
            <c:bubble3D val="0"/>
            <c:spPr>
              <a:solidFill>
                <a:srgbClr val="DE8042"/>
              </a:solidFill>
              <a:ln w="76200">
                <a:solidFill>
                  <a:srgbClr val="DE8042"/>
                </a:solidFill>
              </a:ln>
            </c:spPr>
            <c:extLst>
              <c:ext xmlns:c16="http://schemas.microsoft.com/office/drawing/2014/chart" uri="{C3380CC4-5D6E-409C-BE32-E72D297353CC}">
                <c16:uniqueId val="{0000000D-3287-4488-B777-0B00804C5C6F}"/>
              </c:ext>
            </c:extLst>
          </c:dPt>
          <c:cat>
            <c:strRef>
              <c:f>Details!$D$125:$D$126</c:f>
              <c:strCache>
                <c:ptCount val="2"/>
                <c:pt idx="0">
                  <c:v>% vắng mặt</c:v>
                </c:pt>
                <c:pt idx="1">
                  <c:v>% có mặt</c:v>
                </c:pt>
              </c:strCache>
            </c:strRef>
          </c:cat>
          <c:val>
            <c:numRef>
              <c:f>Details!$E$125:$E$126</c:f>
              <c:numCache>
                <c:formatCode>0%</c:formatCode>
                <c:ptCount val="2"/>
                <c:pt idx="0">
                  <c:v>1</c:v>
                </c:pt>
                <c:pt idx="1">
                  <c:v>0</c:v>
                </c:pt>
              </c:numCache>
            </c:numRef>
          </c:val>
          <c:extLst>
            <c:ext xmlns:c16="http://schemas.microsoft.com/office/drawing/2014/chart" uri="{C3380CC4-5D6E-409C-BE32-E72D297353CC}">
              <c16:uniqueId val="{0000000B-3287-4488-B777-0B00804C5C6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1-78BC-46F3-849C-3916EFA577B2}"/>
              </c:ext>
            </c:extLst>
          </c:dPt>
          <c:dPt>
            <c:idx val="1"/>
            <c:bubble3D val="0"/>
            <c:spPr>
              <a:solidFill>
                <a:srgbClr val="DE8042"/>
              </a:solidFill>
              <a:ln w="76200">
                <a:solidFill>
                  <a:srgbClr val="DE8042"/>
                </a:solidFill>
              </a:ln>
            </c:spPr>
            <c:extLst>
              <c:ext xmlns:c16="http://schemas.microsoft.com/office/drawing/2014/chart" uri="{C3380CC4-5D6E-409C-BE32-E72D297353CC}">
                <c16:uniqueId val="{00000003-78BC-46F3-849C-3916EFA577B2}"/>
              </c:ext>
            </c:extLst>
          </c:dPt>
          <c:cat>
            <c:strRef>
              <c:f>Details!$D$138:$D$139</c:f>
              <c:strCache>
                <c:ptCount val="2"/>
                <c:pt idx="0">
                  <c:v>% vắng mặt</c:v>
                </c:pt>
                <c:pt idx="1">
                  <c:v>% có mặt</c:v>
                </c:pt>
              </c:strCache>
            </c:strRef>
          </c:cat>
          <c:val>
            <c:numRef>
              <c:f>Details!$E$138:$E$139</c:f>
              <c:numCache>
                <c:formatCode>0%</c:formatCode>
                <c:ptCount val="2"/>
                <c:pt idx="0">
                  <c:v>1</c:v>
                </c:pt>
                <c:pt idx="1">
                  <c:v>0</c:v>
                </c:pt>
              </c:numCache>
            </c:numRef>
          </c:val>
          <c:extLst>
            <c:ext xmlns:c16="http://schemas.microsoft.com/office/drawing/2014/chart" uri="{C3380CC4-5D6E-409C-BE32-E72D297353CC}">
              <c16:uniqueId val="{00000004-78BC-46F3-849C-3916EFA577B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1-2095-4665-BCD6-874C98CD307A}"/>
              </c:ext>
            </c:extLst>
          </c:dPt>
          <c:dPt>
            <c:idx val="1"/>
            <c:bubble3D val="0"/>
            <c:spPr>
              <a:solidFill>
                <a:srgbClr val="DE8042"/>
              </a:solidFill>
              <a:ln w="76200">
                <a:solidFill>
                  <a:srgbClr val="DE8042"/>
                </a:solidFill>
              </a:ln>
            </c:spPr>
            <c:extLst>
              <c:ext xmlns:c16="http://schemas.microsoft.com/office/drawing/2014/chart" uri="{C3380CC4-5D6E-409C-BE32-E72D297353CC}">
                <c16:uniqueId val="{00000003-2095-4665-BCD6-874C98CD307A}"/>
              </c:ext>
            </c:extLst>
          </c:dPt>
          <c:cat>
            <c:strRef>
              <c:f>Details!$D$153:$D$154</c:f>
              <c:strCache>
                <c:ptCount val="2"/>
                <c:pt idx="0">
                  <c:v>% vắng mặt</c:v>
                </c:pt>
                <c:pt idx="1">
                  <c:v>% có mặt</c:v>
                </c:pt>
              </c:strCache>
            </c:strRef>
          </c:cat>
          <c:val>
            <c:numRef>
              <c:f>Details!$E$153:$E$154</c:f>
              <c:numCache>
                <c:formatCode>0%</c:formatCode>
                <c:ptCount val="2"/>
                <c:pt idx="0">
                  <c:v>1</c:v>
                </c:pt>
                <c:pt idx="1">
                  <c:v>0</c:v>
                </c:pt>
              </c:numCache>
            </c:numRef>
          </c:val>
          <c:extLst>
            <c:ext xmlns:c16="http://schemas.microsoft.com/office/drawing/2014/chart" uri="{C3380CC4-5D6E-409C-BE32-E72D297353CC}">
              <c16:uniqueId val="{00000004-2095-4665-BCD6-874C98CD307A}"/>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1-D8E0-42D7-81D1-0B925443A66D}"/>
              </c:ext>
            </c:extLst>
          </c:dPt>
          <c:dPt>
            <c:idx val="1"/>
            <c:bubble3D val="0"/>
            <c:spPr>
              <a:solidFill>
                <a:srgbClr val="5C9B84"/>
              </a:solidFill>
              <a:ln w="76200">
                <a:solidFill>
                  <a:srgbClr val="5C9B84"/>
                </a:solidFill>
              </a:ln>
            </c:spPr>
            <c:extLst>
              <c:ext xmlns:c16="http://schemas.microsoft.com/office/drawing/2014/chart" uri="{C3380CC4-5D6E-409C-BE32-E72D297353CC}">
                <c16:uniqueId val="{00000003-D8E0-42D7-81D1-0B925443A66D}"/>
              </c:ext>
            </c:extLst>
          </c:dPt>
          <c:cat>
            <c:strRef>
              <c:f>Details!$D$89:$D$90</c:f>
              <c:strCache>
                <c:ptCount val="2"/>
                <c:pt idx="0">
                  <c:v>% vắng mặt</c:v>
                </c:pt>
                <c:pt idx="1">
                  <c:v>% có mặt</c:v>
                </c:pt>
              </c:strCache>
            </c:strRef>
          </c:cat>
          <c:val>
            <c:numRef>
              <c:f>Details!$E$89:$E$90</c:f>
              <c:numCache>
                <c:formatCode>0%</c:formatCode>
                <c:ptCount val="2"/>
                <c:pt idx="0">
                  <c:v>1</c:v>
                </c:pt>
                <c:pt idx="1">
                  <c:v>0</c:v>
                </c:pt>
              </c:numCache>
            </c:numRef>
          </c:val>
          <c:extLst>
            <c:ext xmlns:c16="http://schemas.microsoft.com/office/drawing/2014/chart" uri="{C3380CC4-5D6E-409C-BE32-E72D297353CC}">
              <c16:uniqueId val="{00000004-D8E0-42D7-81D1-0B925443A66D}"/>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1-FA88-4A63-B845-CB8D6632F63A}"/>
              </c:ext>
            </c:extLst>
          </c:dPt>
          <c:dPt>
            <c:idx val="1"/>
            <c:bubble3D val="0"/>
            <c:spPr>
              <a:solidFill>
                <a:srgbClr val="5C9B84"/>
              </a:solidFill>
              <a:ln w="76200">
                <a:solidFill>
                  <a:srgbClr val="5C9B84"/>
                </a:solidFill>
              </a:ln>
            </c:spPr>
            <c:extLst>
              <c:ext xmlns:c16="http://schemas.microsoft.com/office/drawing/2014/chart" uri="{C3380CC4-5D6E-409C-BE32-E72D297353CC}">
                <c16:uniqueId val="{00000003-FA88-4A63-B845-CB8D6632F63A}"/>
              </c:ext>
            </c:extLst>
          </c:dPt>
          <c:cat>
            <c:strRef>
              <c:f>Details!$D$167:$D$168</c:f>
              <c:strCache>
                <c:ptCount val="2"/>
                <c:pt idx="0">
                  <c:v>% vắng mặt</c:v>
                </c:pt>
                <c:pt idx="1">
                  <c:v>% có mặt</c:v>
                </c:pt>
              </c:strCache>
            </c:strRef>
          </c:cat>
          <c:val>
            <c:numRef>
              <c:f>Details!$E$167:$E$168</c:f>
              <c:numCache>
                <c:formatCode>0%</c:formatCode>
                <c:ptCount val="2"/>
                <c:pt idx="0">
                  <c:v>1</c:v>
                </c:pt>
                <c:pt idx="1">
                  <c:v>0</c:v>
                </c:pt>
              </c:numCache>
            </c:numRef>
          </c:val>
          <c:extLst>
            <c:ext xmlns:c16="http://schemas.microsoft.com/office/drawing/2014/chart" uri="{C3380CC4-5D6E-409C-BE32-E72D297353CC}">
              <c16:uniqueId val="{00000004-FA88-4A63-B845-CB8D6632F63A}"/>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solidFill>
              <a:ln w="12700">
                <a:solidFill>
                  <a:schemeClr val="bg1"/>
                </a:solidFill>
              </a:ln>
            </c:spPr>
            <c:extLst>
              <c:ext xmlns:c16="http://schemas.microsoft.com/office/drawing/2014/chart" uri="{C3380CC4-5D6E-409C-BE32-E72D297353CC}">
                <c16:uniqueId val="{00000001-4452-4AEF-A489-6097A7EB3032}"/>
              </c:ext>
            </c:extLst>
          </c:dPt>
          <c:dPt>
            <c:idx val="1"/>
            <c:bubble3D val="0"/>
            <c:spPr>
              <a:solidFill>
                <a:srgbClr val="5C9B84"/>
              </a:solidFill>
              <a:ln w="76200">
                <a:solidFill>
                  <a:srgbClr val="5C9B84"/>
                </a:solidFill>
              </a:ln>
            </c:spPr>
            <c:extLst>
              <c:ext xmlns:c16="http://schemas.microsoft.com/office/drawing/2014/chart" uri="{C3380CC4-5D6E-409C-BE32-E72D297353CC}">
                <c16:uniqueId val="{00000003-4452-4AEF-A489-6097A7EB3032}"/>
              </c:ext>
            </c:extLst>
          </c:dPt>
          <c:cat>
            <c:strRef>
              <c:f>Details!$D$175:$D$176</c:f>
              <c:strCache>
                <c:ptCount val="2"/>
                <c:pt idx="0">
                  <c:v>% vắng mặt</c:v>
                </c:pt>
                <c:pt idx="1">
                  <c:v>% có mặt</c:v>
                </c:pt>
              </c:strCache>
            </c:strRef>
          </c:cat>
          <c:val>
            <c:numRef>
              <c:f>Details!$E$175:$E$176</c:f>
              <c:numCache>
                <c:formatCode>0%</c:formatCode>
                <c:ptCount val="2"/>
                <c:pt idx="0">
                  <c:v>1</c:v>
                </c:pt>
                <c:pt idx="1">
                  <c:v>0</c:v>
                </c:pt>
              </c:numCache>
            </c:numRef>
          </c:val>
          <c:extLst>
            <c:ext xmlns:c16="http://schemas.microsoft.com/office/drawing/2014/chart" uri="{C3380CC4-5D6E-409C-BE32-E72D297353CC}">
              <c16:uniqueId val="{00000004-4452-4AEF-A489-6097A7EB303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19350522361174"/>
          <c:y val="0.16375545851528384"/>
          <c:w val="0.85202871699861049"/>
          <c:h val="0.72783164659002775"/>
        </c:manualLayout>
      </c:layout>
      <c:scatterChart>
        <c:scatterStyle val="lineMarker"/>
        <c:varyColors val="0"/>
        <c:ser>
          <c:idx val="0"/>
          <c:order val="0"/>
          <c:tx>
            <c:strRef>
              <c:f>Analyze!$E$20</c:f>
              <c:strCache>
                <c:ptCount val="1"/>
                <c:pt idx="0">
                  <c:v>Δ%</c:v>
                </c:pt>
              </c:strCache>
            </c:strRef>
          </c:tx>
          <c:spPr>
            <a:ln w="25400" cap="rnd">
              <a:noFill/>
              <a:round/>
            </a:ln>
            <a:effectLst/>
          </c:spPr>
          <c:marker>
            <c:symbol val="none"/>
          </c:marker>
          <c:errBars>
            <c:errDir val="y"/>
            <c:errBarType val="minus"/>
            <c:errValType val="percentage"/>
            <c:noEndCap val="1"/>
            <c:val val="100"/>
            <c:spPr>
              <a:noFill/>
              <a:ln w="28575" cap="flat" cmpd="sng" algn="ctr">
                <a:solidFill>
                  <a:srgbClr val="42354C"/>
                </a:solidFill>
                <a:round/>
              </a:ln>
              <a:effectLst/>
            </c:spPr>
          </c:errBars>
          <c:yVal>
            <c:numRef>
              <c:f>Analyze!$E$21:$E$34</c:f>
              <c:numCache>
                <c:formatCode>0%</c:formatCode>
                <c:ptCount val="14"/>
                <c:pt idx="0">
                  <c:v>0</c:v>
                </c:pt>
                <c:pt idx="1">
                  <c:v>-0.91596638655462181</c:v>
                </c:pt>
                <c:pt idx="2">
                  <c:v>-0.92934782608695654</c:v>
                </c:pt>
                <c:pt idx="3">
                  <c:v>-0.72527472527472525</c:v>
                </c:pt>
                <c:pt idx="4">
                  <c:v>-0.29411764705882354</c:v>
                </c:pt>
                <c:pt idx="5">
                  <c:v>-0.96</c:v>
                </c:pt>
                <c:pt idx="6">
                  <c:v>-1</c:v>
                </c:pt>
                <c:pt idx="7">
                  <c:v>-0.6333333333333333</c:v>
                </c:pt>
                <c:pt idx="8">
                  <c:v>-1</c:v>
                </c:pt>
                <c:pt idx="9">
                  <c:v>0</c:v>
                </c:pt>
                <c:pt idx="10">
                  <c:v>-0.97777777777777775</c:v>
                </c:pt>
                <c:pt idx="11">
                  <c:v>-0.42424242424242425</c:v>
                </c:pt>
                <c:pt idx="12">
                  <c:v>-1</c:v>
                </c:pt>
                <c:pt idx="13">
                  <c:v>-1</c:v>
                </c:pt>
              </c:numCache>
            </c:numRef>
          </c:yVal>
          <c:smooth val="0"/>
          <c:extLst>
            <c:ext xmlns:c16="http://schemas.microsoft.com/office/drawing/2014/chart" uri="{C3380CC4-5D6E-409C-BE32-E72D297353CC}">
              <c16:uniqueId val="{00000000-D4E1-4C20-9FBB-B3CD79497596}"/>
            </c:ext>
          </c:extLst>
        </c:ser>
        <c:dLbls>
          <c:showLegendKey val="0"/>
          <c:showVal val="0"/>
          <c:showCatName val="0"/>
          <c:showSerName val="0"/>
          <c:showPercent val="0"/>
          <c:showBubbleSize val="0"/>
        </c:dLbls>
        <c:axId val="649837760"/>
        <c:axId val="649838176"/>
      </c:scatterChart>
      <c:valAx>
        <c:axId val="649837760"/>
        <c:scaling>
          <c:orientation val="minMax"/>
          <c:max val="15"/>
          <c:min val="0"/>
        </c:scaling>
        <c:delete val="0"/>
        <c:axPos val="b"/>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838176"/>
        <c:crosses val="autoZero"/>
        <c:crossBetween val="midCat"/>
      </c:valAx>
      <c:valAx>
        <c:axId val="649838176"/>
        <c:scaling>
          <c:orientation val="minMax"/>
          <c:max val="4"/>
          <c:min val="-4"/>
        </c:scaling>
        <c:delete val="0"/>
        <c:axPos val="l"/>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837760"/>
        <c:crossesAt val="0"/>
        <c:crossBetween val="midCat"/>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'Chart Data '!$I$24</c:f>
              <c:strCache>
                <c:ptCount val="1"/>
                <c:pt idx="0">
                  <c:v>Performent</c:v>
                </c:pt>
              </c:strCache>
            </c:strRef>
          </c:tx>
          <c:spPr>
            <a:scene3d>
              <a:camera prst="orthographicFront"/>
              <a:lightRig rig="threePt" dir="t"/>
            </a:scene3d>
            <a:sp3d>
              <a:bevelT w="38100" h="38100"/>
              <a:bevelB w="38100" h="38100"/>
            </a:sp3d>
          </c:spPr>
          <c:dPt>
            <c:idx val="0"/>
            <c:bubble3D val="0"/>
            <c:spPr>
              <a:solidFill>
                <a:srgbClr val="2F4661"/>
              </a:solidFill>
              <a:ln w="19050">
                <a:solidFill>
                  <a:schemeClr val="lt1"/>
                </a:solidFill>
              </a:ln>
              <a:effectLst/>
              <a:scene3d>
                <a:camera prst="orthographicFront"/>
                <a:lightRig rig="threePt" dir="t"/>
              </a:scene3d>
              <a:sp3d>
                <a:bevelT w="38100" h="38100"/>
                <a:bevelB w="38100" h="38100"/>
              </a:sp3d>
            </c:spPr>
            <c:extLst>
              <c:ext xmlns:c16="http://schemas.microsoft.com/office/drawing/2014/chart" uri="{C3380CC4-5D6E-409C-BE32-E72D297353CC}">
                <c16:uniqueId val="{00000001-725A-48B8-AD03-CE9A4CB4AB5F}"/>
              </c:ext>
            </c:extLst>
          </c:dPt>
          <c:dPt>
            <c:idx val="1"/>
            <c:bubble3D val="0"/>
            <c:spPr>
              <a:solidFill>
                <a:srgbClr val="FDDFC7"/>
              </a:solidFill>
              <a:ln w="19050">
                <a:solidFill>
                  <a:schemeClr val="lt1"/>
                </a:solidFill>
              </a:ln>
              <a:effectLst/>
              <a:scene3d>
                <a:camera prst="orthographicFront"/>
                <a:lightRig rig="threePt" dir="t"/>
              </a:scene3d>
              <a:sp3d>
                <a:bevelT w="38100" h="38100"/>
                <a:bevelB w="38100" h="38100"/>
              </a:sp3d>
            </c:spPr>
            <c:extLst>
              <c:ext xmlns:c16="http://schemas.microsoft.com/office/drawing/2014/chart" uri="{C3380CC4-5D6E-409C-BE32-E72D297353CC}">
                <c16:uniqueId val="{00000003-725A-48B8-AD03-CE9A4CB4AB5F}"/>
              </c:ext>
            </c:extLst>
          </c:dPt>
          <c:dPt>
            <c:idx val="2"/>
            <c:bubble3D val="0"/>
            <c:spPr>
              <a:solidFill>
                <a:srgbClr val="42354C"/>
              </a:solidFill>
              <a:ln w="19050">
                <a:solidFill>
                  <a:schemeClr val="lt1"/>
                </a:solidFill>
              </a:ln>
              <a:effectLst/>
              <a:scene3d>
                <a:camera prst="orthographicFront"/>
                <a:lightRig rig="threePt" dir="t"/>
              </a:scene3d>
              <a:sp3d>
                <a:bevelT w="38100" h="38100"/>
                <a:bevelB w="38100" h="38100"/>
              </a:sp3d>
            </c:spPr>
            <c:extLst>
              <c:ext xmlns:c16="http://schemas.microsoft.com/office/drawing/2014/chart" uri="{C3380CC4-5D6E-409C-BE32-E72D297353CC}">
                <c16:uniqueId val="{00000005-725A-48B8-AD03-CE9A4CB4AB5F}"/>
              </c:ext>
            </c:extLst>
          </c:dPt>
          <c:dPt>
            <c:idx val="3"/>
            <c:bubble3D val="0"/>
            <c:spPr>
              <a:solidFill>
                <a:srgbClr val="DE8042"/>
              </a:solidFill>
              <a:ln w="19050">
                <a:solidFill>
                  <a:schemeClr val="lt1"/>
                </a:solidFill>
              </a:ln>
              <a:effectLst/>
              <a:scene3d>
                <a:camera prst="orthographicFront"/>
                <a:lightRig rig="threePt" dir="t"/>
              </a:scene3d>
              <a:sp3d>
                <a:bevelT w="38100" h="38100"/>
                <a:bevelB w="38100" h="38100"/>
              </a:sp3d>
            </c:spPr>
            <c:extLst>
              <c:ext xmlns:c16="http://schemas.microsoft.com/office/drawing/2014/chart" uri="{C3380CC4-5D6E-409C-BE32-E72D297353CC}">
                <c16:uniqueId val="{00000007-725A-48B8-AD03-CE9A4CB4AB5F}"/>
              </c:ext>
            </c:extLst>
          </c:dPt>
          <c:dPt>
            <c:idx val="4"/>
            <c:bubble3D val="0"/>
            <c:spPr>
              <a:noFill/>
              <a:ln w="19050">
                <a:noFill/>
              </a:ln>
              <a:effectLst/>
            </c:spPr>
            <c:extLst>
              <c:ext xmlns:c16="http://schemas.microsoft.com/office/drawing/2014/chart" uri="{C3380CC4-5D6E-409C-BE32-E72D297353CC}">
                <c16:uniqueId val="{00000009-725A-48B8-AD03-CE9A4CB4AB5F}"/>
              </c:ext>
            </c:extLst>
          </c:dPt>
          <c:val>
            <c:numRef>
              <c:f>'Chart Data '!$J$25:$J$29</c:f>
              <c:numCache>
                <c:formatCode>0</c:formatCode>
                <c:ptCount val="5"/>
                <c:pt idx="0">
                  <c:v>10</c:v>
                </c:pt>
                <c:pt idx="1">
                  <c:v>20</c:v>
                </c:pt>
                <c:pt idx="2">
                  <c:v>30</c:v>
                </c:pt>
                <c:pt idx="3">
                  <c:v>60</c:v>
                </c:pt>
                <c:pt idx="4">
                  <c:v>80</c:v>
                </c:pt>
              </c:numCache>
            </c:numRef>
          </c:val>
          <c:extLst>
            <c:ext xmlns:c16="http://schemas.microsoft.com/office/drawing/2014/chart" uri="{C3380CC4-5D6E-409C-BE32-E72D297353CC}">
              <c16:uniqueId val="{0000000A-725A-48B8-AD03-CE9A4CB4AB5F}"/>
            </c:ext>
          </c:extLst>
        </c:ser>
        <c:ser>
          <c:idx val="1"/>
          <c:order val="1"/>
          <c:tx>
            <c:strRef>
              <c:f>'Chart Data '!$L$23</c:f>
              <c:strCache>
                <c:ptCount val="1"/>
                <c:pt idx="0">
                  <c:v>label</c:v>
                </c:pt>
              </c:strCache>
            </c:strRef>
          </c:tx>
          <c:spPr>
            <a:effectLst>
              <a:outerShdw blurRad="50800" dist="50800" dir="5400000" algn="ctr" rotWithShape="0">
                <a:srgbClr val="FDDFC7"/>
              </a:outerShdw>
            </a:effectLst>
            <a:scene3d>
              <a:camera prst="orthographicFront"/>
              <a:lightRig rig="threePt" dir="t"/>
            </a:scene3d>
            <a:sp3d>
              <a:bevelT w="38100" h="38100"/>
              <a:bevelB w="38100" h="38100"/>
            </a:sp3d>
          </c:spPr>
          <c:dPt>
            <c:idx val="0"/>
            <c:bubble3D val="0"/>
            <c:spPr>
              <a:solidFill>
                <a:srgbClr val="D6D0CC"/>
              </a:solidFill>
              <a:ln w="19050">
                <a:solidFill>
                  <a:srgbClr val="D6D0CC"/>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0C-725A-48B8-AD03-CE9A4CB4AB5F}"/>
              </c:ext>
            </c:extLst>
          </c:dPt>
          <c:dPt>
            <c:idx val="1"/>
            <c:bubble3D val="0"/>
            <c:spPr>
              <a:solidFill>
                <a:srgbClr val="5C9B84"/>
              </a:solidFill>
              <a:ln w="19050">
                <a:solidFill>
                  <a:srgbClr val="5C9B84"/>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0E-725A-48B8-AD03-CE9A4CB4AB5F}"/>
              </c:ext>
            </c:extLst>
          </c:dPt>
          <c:dPt>
            <c:idx val="2"/>
            <c:bubble3D val="0"/>
            <c:spPr>
              <a:solidFill>
                <a:srgbClr val="D6D0CC"/>
              </a:solidFill>
              <a:ln w="19050">
                <a:solidFill>
                  <a:srgbClr val="D6D0CC"/>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0-725A-48B8-AD03-CE9A4CB4AB5F}"/>
              </c:ext>
            </c:extLst>
          </c:dPt>
          <c:dPt>
            <c:idx val="3"/>
            <c:bubble3D val="0"/>
            <c:spPr>
              <a:solidFill>
                <a:srgbClr val="5C9B84"/>
              </a:solidFill>
              <a:ln w="19050">
                <a:solidFill>
                  <a:srgbClr val="5C9B84"/>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2-725A-48B8-AD03-CE9A4CB4AB5F}"/>
              </c:ext>
            </c:extLst>
          </c:dPt>
          <c:dPt>
            <c:idx val="4"/>
            <c:bubble3D val="0"/>
            <c:spPr>
              <a:solidFill>
                <a:srgbClr val="D6D0CC"/>
              </a:solidFill>
              <a:ln w="19050">
                <a:solidFill>
                  <a:srgbClr val="D6D0CC"/>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4-725A-48B8-AD03-CE9A4CB4AB5F}"/>
              </c:ext>
            </c:extLst>
          </c:dPt>
          <c:dPt>
            <c:idx val="5"/>
            <c:bubble3D val="0"/>
            <c:spPr>
              <a:solidFill>
                <a:srgbClr val="5C9B84"/>
              </a:solidFill>
              <a:ln w="19050">
                <a:solidFill>
                  <a:srgbClr val="5C9B84"/>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6-725A-48B8-AD03-CE9A4CB4AB5F}"/>
              </c:ext>
            </c:extLst>
          </c:dPt>
          <c:dPt>
            <c:idx val="6"/>
            <c:bubble3D val="0"/>
            <c:spPr>
              <a:solidFill>
                <a:srgbClr val="D6D0CC"/>
              </a:solidFill>
              <a:ln w="19050">
                <a:solidFill>
                  <a:srgbClr val="D6D0CC"/>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8-725A-48B8-AD03-CE9A4CB4AB5F}"/>
              </c:ext>
            </c:extLst>
          </c:dPt>
          <c:dPt>
            <c:idx val="7"/>
            <c:bubble3D val="0"/>
            <c:spPr>
              <a:solidFill>
                <a:srgbClr val="5C9B84"/>
              </a:solidFill>
              <a:ln w="19050">
                <a:solidFill>
                  <a:srgbClr val="5C9B84"/>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A-725A-48B8-AD03-CE9A4CB4AB5F}"/>
              </c:ext>
            </c:extLst>
          </c:dPt>
          <c:dPt>
            <c:idx val="8"/>
            <c:bubble3D val="0"/>
            <c:spPr>
              <a:solidFill>
                <a:srgbClr val="D6D0CC"/>
              </a:solidFill>
              <a:ln w="19050">
                <a:solidFill>
                  <a:srgbClr val="D6D0CC"/>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C-725A-48B8-AD03-CE9A4CB4AB5F}"/>
              </c:ext>
            </c:extLst>
          </c:dPt>
          <c:dPt>
            <c:idx val="9"/>
            <c:bubble3D val="0"/>
            <c:spPr>
              <a:solidFill>
                <a:srgbClr val="5C9B84"/>
              </a:solidFill>
              <a:ln w="19050">
                <a:solidFill>
                  <a:srgbClr val="5C9B84"/>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1E-725A-48B8-AD03-CE9A4CB4AB5F}"/>
              </c:ext>
            </c:extLst>
          </c:dPt>
          <c:dPt>
            <c:idx val="10"/>
            <c:bubble3D val="0"/>
            <c:spPr>
              <a:solidFill>
                <a:srgbClr val="D6D0CC"/>
              </a:solidFill>
              <a:ln w="19050">
                <a:solidFill>
                  <a:srgbClr val="D6D0CC"/>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20-725A-48B8-AD03-CE9A4CB4AB5F}"/>
              </c:ext>
            </c:extLst>
          </c:dPt>
          <c:dPt>
            <c:idx val="11"/>
            <c:bubble3D val="0"/>
            <c:spPr>
              <a:solidFill>
                <a:srgbClr val="5C9B84"/>
              </a:solidFill>
              <a:ln w="19050">
                <a:solidFill>
                  <a:srgbClr val="5C9B84"/>
                </a:solidFill>
              </a:ln>
              <a:effectLst>
                <a:outerShdw blurRad="50800" dist="50800" dir="5400000" algn="ctr" rotWithShape="0">
                  <a:srgbClr val="FDDFC7"/>
                </a:outerShdw>
              </a:effectLst>
              <a:scene3d>
                <a:camera prst="orthographicFront"/>
                <a:lightRig rig="threePt" dir="t"/>
              </a:scene3d>
              <a:sp3d>
                <a:bevelT w="38100" h="38100"/>
                <a:bevelB w="38100" h="38100"/>
              </a:sp3d>
            </c:spPr>
            <c:extLst>
              <c:ext xmlns:c16="http://schemas.microsoft.com/office/drawing/2014/chart" uri="{C3380CC4-5D6E-409C-BE32-E72D297353CC}">
                <c16:uniqueId val="{00000022-725A-48B8-AD03-CE9A4CB4AB5F}"/>
              </c:ext>
            </c:extLst>
          </c:dPt>
          <c:dPt>
            <c:idx val="12"/>
            <c:bubble3D val="0"/>
            <c:spPr>
              <a:noFill/>
              <a:ln w="19050">
                <a:noFill/>
              </a:ln>
              <a:effectLst/>
            </c:spPr>
            <c:extLst>
              <c:ext xmlns:c16="http://schemas.microsoft.com/office/drawing/2014/chart" uri="{C3380CC4-5D6E-409C-BE32-E72D297353CC}">
                <c16:uniqueId val="{00000024-725A-48B8-AD03-CE9A4CB4AB5F}"/>
              </c:ext>
            </c:extLst>
          </c:dPt>
          <c:val>
            <c:numRef>
              <c:f>'Chart Data '!$M$24:$M$36</c:f>
              <c:numCache>
                <c:formatCode>0</c:formatCode>
                <c:ptCount val="13"/>
                <c:pt idx="0">
                  <c:v>10</c:v>
                </c:pt>
                <c:pt idx="1">
                  <c:v>10</c:v>
                </c:pt>
                <c:pt idx="2">
                  <c:v>10</c:v>
                </c:pt>
                <c:pt idx="3">
                  <c:v>10</c:v>
                </c:pt>
                <c:pt idx="4">
                  <c:v>10</c:v>
                </c:pt>
                <c:pt idx="5">
                  <c:v>10</c:v>
                </c:pt>
                <c:pt idx="6">
                  <c:v>10</c:v>
                </c:pt>
                <c:pt idx="7">
                  <c:v>10</c:v>
                </c:pt>
                <c:pt idx="8">
                  <c:v>10</c:v>
                </c:pt>
                <c:pt idx="9">
                  <c:v>10</c:v>
                </c:pt>
                <c:pt idx="10">
                  <c:v>10</c:v>
                </c:pt>
                <c:pt idx="11">
                  <c:v>10</c:v>
                </c:pt>
                <c:pt idx="12">
                  <c:v>80</c:v>
                </c:pt>
              </c:numCache>
            </c:numRef>
          </c:val>
          <c:extLst>
            <c:ext xmlns:c16="http://schemas.microsoft.com/office/drawing/2014/chart" uri="{C3380CC4-5D6E-409C-BE32-E72D297353CC}">
              <c16:uniqueId val="{00000025-725A-48B8-AD03-CE9A4CB4AB5F}"/>
            </c:ext>
          </c:extLst>
        </c:ser>
        <c:dLbls>
          <c:showLegendKey val="0"/>
          <c:showVal val="0"/>
          <c:showCatName val="0"/>
          <c:showSerName val="0"/>
          <c:showPercent val="0"/>
          <c:showBubbleSize val="0"/>
          <c:showLeaderLines val="1"/>
        </c:dLbls>
        <c:firstSliceAng val="252"/>
        <c:holeSize val="50"/>
      </c:doughnutChart>
      <c:pieChart>
        <c:varyColors val="1"/>
        <c:ser>
          <c:idx val="2"/>
          <c:order val="2"/>
          <c:tx>
            <c:strRef>
              <c:f>'Chart Data '!$O$23</c:f>
              <c:strCache>
                <c:ptCount val="1"/>
                <c:pt idx="0">
                  <c:v>Pointer</c:v>
                </c:pt>
              </c:strCache>
            </c:strRef>
          </c:tx>
          <c:dPt>
            <c:idx val="0"/>
            <c:bubble3D val="0"/>
            <c:spPr>
              <a:noFill/>
              <a:ln w="19050">
                <a:noFill/>
              </a:ln>
              <a:effectLst/>
            </c:spPr>
            <c:extLst>
              <c:ext xmlns:c16="http://schemas.microsoft.com/office/drawing/2014/chart" uri="{C3380CC4-5D6E-409C-BE32-E72D297353CC}">
                <c16:uniqueId val="{00000027-725A-48B8-AD03-CE9A4CB4AB5F}"/>
              </c:ext>
            </c:extLst>
          </c:dPt>
          <c:dPt>
            <c:idx val="1"/>
            <c:bubble3D val="0"/>
            <c:explosion val="5"/>
            <c:spPr>
              <a:solidFill>
                <a:srgbClr val="C00000"/>
              </a:solidFill>
              <a:ln w="19050">
                <a:solidFill>
                  <a:srgbClr val="C00000"/>
                </a:solidFill>
              </a:ln>
              <a:effectLst/>
            </c:spPr>
            <c:extLst>
              <c:ext xmlns:c16="http://schemas.microsoft.com/office/drawing/2014/chart" uri="{C3380CC4-5D6E-409C-BE32-E72D297353CC}">
                <c16:uniqueId val="{00000029-725A-48B8-AD03-CE9A4CB4AB5F}"/>
              </c:ext>
            </c:extLst>
          </c:dPt>
          <c:dPt>
            <c:idx val="2"/>
            <c:bubble3D val="0"/>
            <c:spPr>
              <a:noFill/>
              <a:ln w="19050">
                <a:noFill/>
              </a:ln>
              <a:effectLst/>
            </c:spPr>
            <c:extLst>
              <c:ext xmlns:c16="http://schemas.microsoft.com/office/drawing/2014/chart" uri="{C3380CC4-5D6E-409C-BE32-E72D297353CC}">
                <c16:uniqueId val="{0000002B-725A-48B8-AD03-CE9A4CB4AB5F}"/>
              </c:ext>
            </c:extLst>
          </c:dPt>
          <c:val>
            <c:numRef>
              <c:f>'Chart Data '!$O$24:$O$26</c:f>
              <c:numCache>
                <c:formatCode>0</c:formatCode>
                <c:ptCount val="3"/>
                <c:pt idx="0">
                  <c:v>1</c:v>
                </c:pt>
                <c:pt idx="1">
                  <c:v>1</c:v>
                </c:pt>
                <c:pt idx="2">
                  <c:v>198</c:v>
                </c:pt>
              </c:numCache>
            </c:numRef>
          </c:val>
          <c:extLst>
            <c:ext xmlns:c16="http://schemas.microsoft.com/office/drawing/2014/chart" uri="{C3380CC4-5D6E-409C-BE32-E72D297353CC}">
              <c16:uniqueId val="{0000002C-725A-48B8-AD03-CE9A4CB4AB5F}"/>
            </c:ext>
          </c:extLst>
        </c:ser>
        <c:dLbls>
          <c:showLegendKey val="0"/>
          <c:showVal val="0"/>
          <c:showCatName val="0"/>
          <c:showSerName val="0"/>
          <c:showPercent val="0"/>
          <c:showBubbleSize val="0"/>
          <c:showLeaderLines val="1"/>
        </c:dLbls>
        <c:firstSliceAng val="252"/>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tx>
            <c:strRef>
              <c:f>'Chart Data '!$I$24</c:f>
              <c:strCache>
                <c:ptCount val="1"/>
                <c:pt idx="0">
                  <c:v>Performent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532C-47CE-9572-913CAC56C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2C-47CE-9572-913CAC56C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532C-47CE-9572-913CAC56C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A28-4CAD-81DF-68632EF6C017}"/>
              </c:ext>
            </c:extLst>
          </c:dPt>
          <c:dPt>
            <c:idx val="4"/>
            <c:bubble3D val="0"/>
            <c:spPr>
              <a:noFill/>
              <a:ln w="19050">
                <a:noFill/>
              </a:ln>
              <a:effectLst/>
            </c:spPr>
            <c:extLst>
              <c:ext xmlns:c16="http://schemas.microsoft.com/office/drawing/2014/chart" uri="{C3380CC4-5D6E-409C-BE32-E72D297353CC}">
                <c16:uniqueId val="{00000001-532C-47CE-9572-913CAC56C976}"/>
              </c:ext>
            </c:extLst>
          </c:dPt>
          <c:val>
            <c:numRef>
              <c:f>'Chart Data '!$J$25:$J$29</c:f>
              <c:numCache>
                <c:formatCode>0</c:formatCode>
                <c:ptCount val="5"/>
                <c:pt idx="0">
                  <c:v>10</c:v>
                </c:pt>
                <c:pt idx="1">
                  <c:v>20</c:v>
                </c:pt>
                <c:pt idx="2">
                  <c:v>30</c:v>
                </c:pt>
                <c:pt idx="3">
                  <c:v>60</c:v>
                </c:pt>
                <c:pt idx="4">
                  <c:v>80</c:v>
                </c:pt>
              </c:numCache>
            </c:numRef>
          </c:val>
          <c:extLst>
            <c:ext xmlns:c16="http://schemas.microsoft.com/office/drawing/2014/chart" uri="{C3380CC4-5D6E-409C-BE32-E72D297353CC}">
              <c16:uniqueId val="{00000000-532C-47CE-9572-913CAC56C976}"/>
            </c:ext>
          </c:extLst>
        </c:ser>
        <c:ser>
          <c:idx val="1"/>
          <c:order val="1"/>
          <c:tx>
            <c:strRef>
              <c:f>'Chart Data '!$L$23</c:f>
              <c:strCache>
                <c:ptCount val="1"/>
                <c:pt idx="0">
                  <c:v>label</c:v>
                </c:pt>
              </c:strCache>
            </c:strRef>
          </c:tx>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7-532C-47CE-9572-913CAC56C976}"/>
              </c:ext>
            </c:extLst>
          </c:dPt>
          <c:dPt>
            <c:idx val="1"/>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8-532C-47CE-9572-913CAC56C976}"/>
              </c:ext>
            </c:extLst>
          </c:dPt>
          <c:dPt>
            <c:idx val="2"/>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9-532C-47CE-9572-913CAC56C976}"/>
              </c:ext>
            </c:extLst>
          </c:dPt>
          <c:dPt>
            <c:idx val="3"/>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A-532C-47CE-9572-913CAC56C976}"/>
              </c:ext>
            </c:extLst>
          </c:dPt>
          <c:dPt>
            <c:idx val="4"/>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532C-47CE-9572-913CAC56C976}"/>
              </c:ext>
            </c:extLst>
          </c:dPt>
          <c:dPt>
            <c:idx val="5"/>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C-532C-47CE-9572-913CAC56C976}"/>
              </c:ext>
            </c:extLst>
          </c:dPt>
          <c:dPt>
            <c:idx val="6"/>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D-532C-47CE-9572-913CAC56C976}"/>
              </c:ext>
            </c:extLst>
          </c:dPt>
          <c:dPt>
            <c:idx val="7"/>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E-532C-47CE-9572-913CAC56C976}"/>
              </c:ext>
            </c:extLst>
          </c:dPt>
          <c:dPt>
            <c:idx val="8"/>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F-532C-47CE-9572-913CAC56C976}"/>
              </c:ext>
            </c:extLst>
          </c:dPt>
          <c:dPt>
            <c:idx val="9"/>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10-532C-47CE-9572-913CAC56C976}"/>
              </c:ext>
            </c:extLst>
          </c:dPt>
          <c:dPt>
            <c:idx val="10"/>
            <c:bubble3D val="0"/>
            <c:spPr>
              <a:noFill/>
              <a:ln w="19050">
                <a:noFill/>
              </a:ln>
              <a:effectLst/>
            </c:spPr>
            <c:extLst>
              <c:ext xmlns:c16="http://schemas.microsoft.com/office/drawing/2014/chart" uri="{C3380CC4-5D6E-409C-BE32-E72D297353CC}">
                <c16:uniqueId val="{00000006-532C-47CE-9572-913CAC56C976}"/>
              </c:ext>
            </c:extLst>
          </c:dPt>
          <c:val>
            <c:numRef>
              <c:f>'Chart Data '!$M$24:$M$34</c:f>
              <c:numCache>
                <c:formatCode>0</c:formatCode>
                <c:ptCount val="11"/>
                <c:pt idx="0">
                  <c:v>10</c:v>
                </c:pt>
                <c:pt idx="1">
                  <c:v>10</c:v>
                </c:pt>
                <c:pt idx="2">
                  <c:v>10</c:v>
                </c:pt>
                <c:pt idx="3">
                  <c:v>10</c:v>
                </c:pt>
                <c:pt idx="4">
                  <c:v>10</c:v>
                </c:pt>
                <c:pt idx="5">
                  <c:v>10</c:v>
                </c:pt>
                <c:pt idx="6">
                  <c:v>10</c:v>
                </c:pt>
                <c:pt idx="7">
                  <c:v>10</c:v>
                </c:pt>
                <c:pt idx="8">
                  <c:v>10</c:v>
                </c:pt>
                <c:pt idx="9">
                  <c:v>10</c:v>
                </c:pt>
                <c:pt idx="10">
                  <c:v>10</c:v>
                </c:pt>
              </c:numCache>
            </c:numRef>
          </c:val>
          <c:extLst>
            <c:ext xmlns:c16="http://schemas.microsoft.com/office/drawing/2014/chart" uri="{C3380CC4-5D6E-409C-BE32-E72D297353CC}">
              <c16:uniqueId val="{00000005-532C-47CE-9572-913CAC56C976}"/>
            </c:ext>
          </c:extLst>
        </c:ser>
        <c:dLbls>
          <c:showLegendKey val="0"/>
          <c:showVal val="0"/>
          <c:showCatName val="0"/>
          <c:showSerName val="0"/>
          <c:showPercent val="0"/>
          <c:showBubbleSize val="0"/>
          <c:showLeaderLines val="1"/>
        </c:dLbls>
        <c:firstSliceAng val="270"/>
        <c:holeSize val="50"/>
      </c:doughnutChart>
      <c:pieChart>
        <c:varyColors val="1"/>
        <c:ser>
          <c:idx val="2"/>
          <c:order val="2"/>
          <c:tx>
            <c:strRef>
              <c:f>'Chart Data '!$O$23</c:f>
              <c:strCache>
                <c:ptCount val="1"/>
                <c:pt idx="0">
                  <c:v>Pointer</c:v>
                </c:pt>
              </c:strCache>
            </c:strRef>
          </c:tx>
          <c:spPr>
            <a:noFill/>
            <a:ln>
              <a:noFill/>
            </a:ln>
          </c:spPr>
          <c:dPt>
            <c:idx val="0"/>
            <c:bubble3D val="0"/>
            <c:spPr>
              <a:noFill/>
              <a:ln w="19050">
                <a:noFill/>
              </a:ln>
              <a:effectLst/>
            </c:spPr>
            <c:extLst>
              <c:ext xmlns:c16="http://schemas.microsoft.com/office/drawing/2014/chart" uri="{C3380CC4-5D6E-409C-BE32-E72D297353CC}">
                <c16:uniqueId val="{00000012-532C-47CE-9572-913CAC56C976}"/>
              </c:ext>
            </c:extLst>
          </c:dPt>
          <c:dPt>
            <c:idx val="1"/>
            <c:bubble3D val="0"/>
            <c:spPr>
              <a:solidFill>
                <a:srgbClr val="FF0000"/>
              </a:solidFill>
              <a:ln w="19050">
                <a:noFill/>
              </a:ln>
              <a:effectLst/>
            </c:spPr>
            <c:extLst>
              <c:ext xmlns:c16="http://schemas.microsoft.com/office/drawing/2014/chart" uri="{C3380CC4-5D6E-409C-BE32-E72D297353CC}">
                <c16:uniqueId val="{00000014-532C-47CE-9572-913CAC56C976}"/>
              </c:ext>
            </c:extLst>
          </c:dPt>
          <c:dPt>
            <c:idx val="2"/>
            <c:bubble3D val="0"/>
            <c:spPr>
              <a:noFill/>
              <a:ln w="19050">
                <a:noFill/>
              </a:ln>
              <a:effectLst/>
            </c:spPr>
            <c:extLst>
              <c:ext xmlns:c16="http://schemas.microsoft.com/office/drawing/2014/chart" uri="{C3380CC4-5D6E-409C-BE32-E72D297353CC}">
                <c16:uniqueId val="{00000013-532C-47CE-9572-913CAC56C976}"/>
              </c:ext>
            </c:extLst>
          </c:dPt>
          <c:val>
            <c:numRef>
              <c:f>'Chart Data '!$O$24:$O$26</c:f>
              <c:numCache>
                <c:formatCode>0</c:formatCode>
                <c:ptCount val="3"/>
                <c:pt idx="0">
                  <c:v>1</c:v>
                </c:pt>
                <c:pt idx="1">
                  <c:v>1</c:v>
                </c:pt>
                <c:pt idx="2">
                  <c:v>198</c:v>
                </c:pt>
              </c:numCache>
            </c:numRef>
          </c:val>
          <c:extLst>
            <c:ext xmlns:c16="http://schemas.microsoft.com/office/drawing/2014/chart" uri="{C3380CC4-5D6E-409C-BE32-E72D297353CC}">
              <c16:uniqueId val="{00000011-532C-47CE-9572-913CAC56C976}"/>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horizontalDpi="200" verticalDpi="2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2" fmlaLink="Analyze!$C$20" fmlaRange="'Att table'!$R$121:$R$132" noThreeD="1" sel="4" val="2"/>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12.png"/><Relationship Id="rId18" Type="http://schemas.openxmlformats.org/officeDocument/2006/relationships/image" Target="../media/image15.png"/><Relationship Id="rId26" Type="http://schemas.openxmlformats.org/officeDocument/2006/relationships/chart" Target="../charts/chart12.xml"/><Relationship Id="rId3" Type="http://schemas.openxmlformats.org/officeDocument/2006/relationships/image" Target="../media/image7.png"/><Relationship Id="rId21" Type="http://schemas.openxmlformats.org/officeDocument/2006/relationships/chart" Target="../charts/chart7.xml"/><Relationship Id="rId7" Type="http://schemas.openxmlformats.org/officeDocument/2006/relationships/image" Target="../media/image9.emf"/><Relationship Id="rId12" Type="http://schemas.openxmlformats.org/officeDocument/2006/relationships/chart" Target="../charts/chart4.xml"/><Relationship Id="rId17" Type="http://schemas.openxmlformats.org/officeDocument/2006/relationships/chart" Target="../charts/chart6.xml"/><Relationship Id="rId25" Type="http://schemas.openxmlformats.org/officeDocument/2006/relationships/chart" Target="../charts/chart11.xml"/><Relationship Id="rId2" Type="http://schemas.openxmlformats.org/officeDocument/2006/relationships/image" Target="../media/image6.png"/><Relationship Id="rId16" Type="http://schemas.openxmlformats.org/officeDocument/2006/relationships/image" Target="../media/image14.emf"/><Relationship Id="rId20" Type="http://schemas.openxmlformats.org/officeDocument/2006/relationships/image" Target="../media/image17.emf"/><Relationship Id="rId29" Type="http://schemas.openxmlformats.org/officeDocument/2006/relationships/chart" Target="../charts/chart15.xml"/><Relationship Id="rId1" Type="http://schemas.openxmlformats.org/officeDocument/2006/relationships/chart" Target="../charts/chart1.xml"/><Relationship Id="rId6" Type="http://schemas.microsoft.com/office/2007/relationships/hdphoto" Target="../media/hdphoto2.wdp"/><Relationship Id="rId11" Type="http://schemas.openxmlformats.org/officeDocument/2006/relationships/image" Target="../media/image11.emf"/><Relationship Id="rId24" Type="http://schemas.openxmlformats.org/officeDocument/2006/relationships/chart" Target="../charts/chart10.xml"/><Relationship Id="rId5" Type="http://schemas.openxmlformats.org/officeDocument/2006/relationships/image" Target="../media/image8.png"/><Relationship Id="rId15" Type="http://schemas.openxmlformats.org/officeDocument/2006/relationships/chart" Target="../charts/chart5.xml"/><Relationship Id="rId23" Type="http://schemas.openxmlformats.org/officeDocument/2006/relationships/chart" Target="../charts/chart9.xml"/><Relationship Id="rId28" Type="http://schemas.openxmlformats.org/officeDocument/2006/relationships/chart" Target="../charts/chart14.xml"/><Relationship Id="rId10" Type="http://schemas.openxmlformats.org/officeDocument/2006/relationships/image" Target="../media/image10.emf"/><Relationship Id="rId19" Type="http://schemas.openxmlformats.org/officeDocument/2006/relationships/image" Target="../media/image16.png"/><Relationship Id="rId4" Type="http://schemas.microsoft.com/office/2007/relationships/hdphoto" Target="../media/hdphoto1.wdp"/><Relationship Id="rId9" Type="http://schemas.openxmlformats.org/officeDocument/2006/relationships/chart" Target="../charts/chart3.xml"/><Relationship Id="rId14" Type="http://schemas.openxmlformats.org/officeDocument/2006/relationships/image" Target="../media/image13.png"/><Relationship Id="rId22" Type="http://schemas.openxmlformats.org/officeDocument/2006/relationships/chart" Target="../charts/chart8.xml"/><Relationship Id="rId27" Type="http://schemas.openxmlformats.org/officeDocument/2006/relationships/chart" Target="../charts/chart13.xml"/><Relationship Id="rId30"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0</xdr:col>
      <xdr:colOff>85725</xdr:colOff>
      <xdr:row>3</xdr:row>
      <xdr:rowOff>104775</xdr:rowOff>
    </xdr:from>
    <xdr:to>
      <xdr:col>15</xdr:col>
      <xdr:colOff>38100</xdr:colOff>
      <xdr:row>14</xdr:row>
      <xdr:rowOff>142874</xdr:rowOff>
    </xdr:to>
    <xdr:sp macro="" textlink="">
      <xdr:nvSpPr>
        <xdr:cNvPr id="4" name="Rounded Rectangle 3"/>
        <xdr:cNvSpPr/>
      </xdr:nvSpPr>
      <xdr:spPr>
        <a:xfrm>
          <a:off x="85725" y="676275"/>
          <a:ext cx="9096375" cy="2133599"/>
        </a:xfrm>
        <a:prstGeom prst="roundRect">
          <a:avLst>
            <a:gd name="adj" fmla="val 3835"/>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104775</xdr:colOff>
      <xdr:row>0</xdr:row>
      <xdr:rowOff>38100</xdr:rowOff>
    </xdr:from>
    <xdr:to>
      <xdr:col>21</xdr:col>
      <xdr:colOff>132207</xdr:colOff>
      <xdr:row>26</xdr:row>
      <xdr:rowOff>66675</xdr:rowOff>
    </xdr:to>
    <xdr:sp macro="" textlink="">
      <xdr:nvSpPr>
        <xdr:cNvPr id="7" name="Rectangle 6"/>
        <xdr:cNvSpPr/>
      </xdr:nvSpPr>
      <xdr:spPr>
        <a:xfrm>
          <a:off x="9248775" y="38100"/>
          <a:ext cx="3685032" cy="4981575"/>
        </a:xfrm>
        <a:prstGeom prst="rect">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219075</xdr:colOff>
      <xdr:row>0</xdr:row>
      <xdr:rowOff>76199</xdr:rowOff>
    </xdr:from>
    <xdr:to>
      <xdr:col>21</xdr:col>
      <xdr:colOff>28573</xdr:colOff>
      <xdr:row>11</xdr:row>
      <xdr:rowOff>76200</xdr:rowOff>
    </xdr:to>
    <xdr:graphicFrame macro="">
      <xdr:nvGraphicFramePr>
        <xdr:cNvPr id="22" name="Chart 2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15</xdr:col>
      <xdr:colOff>142874</xdr:colOff>
      <xdr:row>19</xdr:row>
      <xdr:rowOff>185739</xdr:rowOff>
    </xdr:from>
    <xdr:to>
      <xdr:col>19</xdr:col>
      <xdr:colOff>533399</xdr:colOff>
      <xdr:row>26</xdr:row>
      <xdr:rowOff>28575</xdr:rowOff>
    </xdr:to>
    <mc:AlternateContent xmlns:mc="http://schemas.openxmlformats.org/markup-compatibility/2006" xmlns:sle15="http://schemas.microsoft.com/office/drawing/2012/slicer">
      <mc:Choice Requires="sle15">
        <xdr:graphicFrame macro="">
          <xdr:nvGraphicFramePr>
            <xdr:cNvPr id="23" name="mã phòng ban"/>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ã phòng ban"/>
            </a:graphicData>
          </a:graphic>
        </xdr:graphicFrame>
      </mc:Choice>
      <mc:Fallback xmlns="">
        <xdr:sp macro="" textlink="">
          <xdr:nvSpPr>
            <xdr:cNvPr id="0" name=""/>
            <xdr:cNvSpPr>
              <a:spLocks noTextEdit="1"/>
            </xdr:cNvSpPr>
          </xdr:nvSpPr>
          <xdr:spPr>
            <a:xfrm>
              <a:off x="9286874" y="3805239"/>
              <a:ext cx="2828925" cy="11763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76143</xdr:colOff>
      <xdr:row>0</xdr:row>
      <xdr:rowOff>28575</xdr:rowOff>
    </xdr:from>
    <xdr:to>
      <xdr:col>15</xdr:col>
      <xdr:colOff>35071</xdr:colOff>
      <xdr:row>3</xdr:row>
      <xdr:rowOff>38106</xdr:rowOff>
    </xdr:to>
    <xdr:sp macro="" textlink="">
      <xdr:nvSpPr>
        <xdr:cNvPr id="2" name="Rounded Rectangle 1"/>
        <xdr:cNvSpPr>
          <a:spLocks noChangeAspect="1"/>
        </xdr:cNvSpPr>
      </xdr:nvSpPr>
      <xdr:spPr>
        <a:xfrm>
          <a:off x="76143" y="28575"/>
          <a:ext cx="9102928" cy="581031"/>
        </a:xfrm>
        <a:prstGeom prst="roundRect">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266700</xdr:colOff>
      <xdr:row>0</xdr:row>
      <xdr:rowOff>0</xdr:rowOff>
    </xdr:from>
    <xdr:to>
      <xdr:col>10</xdr:col>
      <xdr:colOff>266700</xdr:colOff>
      <xdr:row>3</xdr:row>
      <xdr:rowOff>114300</xdr:rowOff>
    </xdr:to>
    <xdr:sp macro="" textlink="">
      <xdr:nvSpPr>
        <xdr:cNvPr id="3" name="TextBox 2"/>
        <xdr:cNvSpPr txBox="1"/>
      </xdr:nvSpPr>
      <xdr:spPr>
        <a:xfrm>
          <a:off x="2705100" y="0"/>
          <a:ext cx="365760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600" b="1">
              <a:solidFill>
                <a:schemeClr val="bg1"/>
              </a:solidFill>
              <a:latin typeface="Adobe Caslon Pro Bold" panose="0205070206050A020403" pitchFamily="18" charset="0"/>
            </a:rPr>
            <a:t>ATTENDANCE</a:t>
          </a:r>
          <a:r>
            <a:rPr lang="en-US" sz="1600" b="1" baseline="0">
              <a:solidFill>
                <a:schemeClr val="bg1"/>
              </a:solidFill>
              <a:latin typeface="Adobe Caslon Pro Bold" panose="0205070206050A020403" pitchFamily="18" charset="0"/>
            </a:rPr>
            <a:t> DASHBOARD</a:t>
          </a:r>
          <a:r>
            <a:rPr lang="en-US" sz="1100" baseline="0">
              <a:solidFill>
                <a:schemeClr val="bg1"/>
              </a:solidFill>
              <a:latin typeface="Adobe Caslon Pro Bold" panose="0205070206050A020403" pitchFamily="18" charset="0"/>
            </a:rPr>
            <a:t/>
          </a:r>
          <a:br>
            <a:rPr lang="en-US" sz="1100" baseline="0">
              <a:solidFill>
                <a:schemeClr val="bg1"/>
              </a:solidFill>
              <a:latin typeface="Adobe Caslon Pro Bold" panose="0205070206050A020403" pitchFamily="18" charset="0"/>
            </a:rPr>
          </a:br>
          <a:r>
            <a:rPr lang="en-US" sz="1000" baseline="0">
              <a:solidFill>
                <a:schemeClr val="bg1"/>
              </a:solidFill>
              <a:latin typeface="Adobe Caslon Pro Bold" panose="0205070206050A020403" pitchFamily="18" charset="0"/>
            </a:rPr>
            <a:t>quangminh@cdytqn.edu.vn</a:t>
          </a:r>
          <a:endParaRPr lang="en-US" sz="1000">
            <a:solidFill>
              <a:schemeClr val="bg1"/>
            </a:solidFill>
            <a:latin typeface="Adobe Caslon Pro Bold" panose="0205070206050A020403" pitchFamily="18" charset="0"/>
          </a:endParaRPr>
        </a:p>
      </xdr:txBody>
    </xdr:sp>
    <xdr:clientData/>
  </xdr:twoCellAnchor>
  <xdr:twoCellAnchor>
    <xdr:from>
      <xdr:col>0</xdr:col>
      <xdr:colOff>85725</xdr:colOff>
      <xdr:row>15</xdr:row>
      <xdr:rowOff>23812</xdr:rowOff>
    </xdr:from>
    <xdr:to>
      <xdr:col>15</xdr:col>
      <xdr:colOff>38100</xdr:colOff>
      <xdr:row>26</xdr:row>
      <xdr:rowOff>61911</xdr:rowOff>
    </xdr:to>
    <xdr:sp macro="" textlink="">
      <xdr:nvSpPr>
        <xdr:cNvPr id="5" name="Rounded Rectangle 4"/>
        <xdr:cNvSpPr/>
      </xdr:nvSpPr>
      <xdr:spPr>
        <a:xfrm>
          <a:off x="85725" y="2881312"/>
          <a:ext cx="9096375" cy="2133599"/>
        </a:xfrm>
        <a:prstGeom prst="roundRect">
          <a:avLst>
            <a:gd name="adj" fmla="val 4278"/>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85725</xdr:colOff>
      <xdr:row>26</xdr:row>
      <xdr:rowOff>133350</xdr:rowOff>
    </xdr:from>
    <xdr:to>
      <xdr:col>12</xdr:col>
      <xdr:colOff>133350</xdr:colOff>
      <xdr:row>37</xdr:row>
      <xdr:rowOff>171449</xdr:rowOff>
    </xdr:to>
    <xdr:sp macro="" textlink="">
      <xdr:nvSpPr>
        <xdr:cNvPr id="6" name="Rounded Rectangle 5"/>
        <xdr:cNvSpPr/>
      </xdr:nvSpPr>
      <xdr:spPr>
        <a:xfrm>
          <a:off x="85725" y="5086350"/>
          <a:ext cx="7362825" cy="2133599"/>
        </a:xfrm>
        <a:prstGeom prst="roundRect">
          <a:avLst>
            <a:gd name="adj" fmla="val 5163"/>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104775</xdr:colOff>
      <xdr:row>26</xdr:row>
      <xdr:rowOff>141442</xdr:rowOff>
    </xdr:from>
    <xdr:to>
      <xdr:col>21</xdr:col>
      <xdr:colOff>132207</xdr:colOff>
      <xdr:row>37</xdr:row>
      <xdr:rowOff>161925</xdr:rowOff>
    </xdr:to>
    <xdr:sp macro="" textlink="">
      <xdr:nvSpPr>
        <xdr:cNvPr id="8" name="Rectangle 7"/>
        <xdr:cNvSpPr/>
      </xdr:nvSpPr>
      <xdr:spPr>
        <a:xfrm>
          <a:off x="9248775" y="5094442"/>
          <a:ext cx="3685032" cy="2115983"/>
        </a:xfrm>
        <a:prstGeom prst="rect">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19</xdr:col>
          <xdr:colOff>533400</xdr:colOff>
          <xdr:row>21</xdr:row>
          <xdr:rowOff>57150</xdr:rowOff>
        </xdr:from>
        <xdr:to>
          <xdr:col>21</xdr:col>
          <xdr:colOff>104775</xdr:colOff>
          <xdr:row>26</xdr:row>
          <xdr:rowOff>19050</xdr:rowOff>
        </xdr:to>
        <xdr:sp macro="" textlink="">
          <xdr:nvSpPr>
            <xdr:cNvPr id="8194" name="List Box 2" descr="Select month to display in chart!"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436712</xdr:colOff>
      <xdr:row>19</xdr:row>
      <xdr:rowOff>161925</xdr:rowOff>
    </xdr:from>
    <xdr:to>
      <xdr:col>21</xdr:col>
      <xdr:colOff>212423</xdr:colOff>
      <xdr:row>21</xdr:row>
      <xdr:rowOff>1137</xdr:rowOff>
    </xdr:to>
    <xdr:sp macro="" textlink="">
      <xdr:nvSpPr>
        <xdr:cNvPr id="17" name="Rounded Rectangle 16"/>
        <xdr:cNvSpPr/>
      </xdr:nvSpPr>
      <xdr:spPr>
        <a:xfrm>
          <a:off x="12019112" y="3781425"/>
          <a:ext cx="994911" cy="22021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select month</a:t>
          </a:r>
        </a:p>
      </xdr:txBody>
    </xdr:sp>
    <xdr:clientData/>
  </xdr:twoCellAnchor>
  <xdr:twoCellAnchor>
    <xdr:from>
      <xdr:col>4</xdr:col>
      <xdr:colOff>266700</xdr:colOff>
      <xdr:row>1</xdr:row>
      <xdr:rowOff>152400</xdr:rowOff>
    </xdr:from>
    <xdr:to>
      <xdr:col>10</xdr:col>
      <xdr:colOff>266700</xdr:colOff>
      <xdr:row>1</xdr:row>
      <xdr:rowOff>152400</xdr:rowOff>
    </xdr:to>
    <xdr:cxnSp macro="">
      <xdr:nvCxnSpPr>
        <xdr:cNvPr id="10" name="Straight Connector 9"/>
        <xdr:cNvCxnSpPr>
          <a:stCxn id="3" idx="1"/>
          <a:endCxn id="3" idx="3"/>
        </xdr:cNvCxnSpPr>
      </xdr:nvCxnSpPr>
      <xdr:spPr>
        <a:xfrm>
          <a:off x="2705100" y="342900"/>
          <a:ext cx="3657600"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266700</xdr:colOff>
      <xdr:row>2</xdr:row>
      <xdr:rowOff>28575</xdr:rowOff>
    </xdr:from>
    <xdr:to>
      <xdr:col>10</xdr:col>
      <xdr:colOff>266700</xdr:colOff>
      <xdr:row>2</xdr:row>
      <xdr:rowOff>28575</xdr:rowOff>
    </xdr:to>
    <xdr:cxnSp macro="">
      <xdr:nvCxnSpPr>
        <xdr:cNvPr id="15" name="Straight Connector 14"/>
        <xdr:cNvCxnSpPr/>
      </xdr:nvCxnSpPr>
      <xdr:spPr>
        <a:xfrm>
          <a:off x="2705100" y="409575"/>
          <a:ext cx="3657600"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190501</xdr:colOff>
      <xdr:row>0</xdr:row>
      <xdr:rowOff>47625</xdr:rowOff>
    </xdr:from>
    <xdr:to>
      <xdr:col>1</xdr:col>
      <xdr:colOff>171451</xdr:colOff>
      <xdr:row>3</xdr:row>
      <xdr:rowOff>19051</xdr:rowOff>
    </xdr:to>
    <xdr:pic>
      <xdr:nvPicPr>
        <xdr:cNvPr id="11" name="Picture 10" descr="File:Fxemoji u1F3E5.svg - Wikimedia Commons"/>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01" y="47625"/>
          <a:ext cx="590550" cy="542926"/>
        </a:xfrm>
        <a:prstGeom prst="rect">
          <a:avLst/>
        </a:prstGeom>
      </xdr:spPr>
    </xdr:pic>
    <xdr:clientData/>
  </xdr:twoCellAnchor>
  <xdr:twoCellAnchor editAs="oneCell">
    <xdr:from>
      <xdr:col>0</xdr:col>
      <xdr:colOff>161925</xdr:colOff>
      <xdr:row>4</xdr:row>
      <xdr:rowOff>0</xdr:rowOff>
    </xdr:from>
    <xdr:to>
      <xdr:col>0</xdr:col>
      <xdr:colOff>438150</xdr:colOff>
      <xdr:row>5</xdr:row>
      <xdr:rowOff>85725</xdr:rowOff>
    </xdr:to>
    <xdr:pic>
      <xdr:nvPicPr>
        <xdr:cNvPr id="13" name="Picture 12" descr="SHOPPING CENTERS2 | สาระ ความรู้ ข่าวสาร ความบันเทิง ของ ..."/>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161925" y="762000"/>
          <a:ext cx="276225" cy="276225"/>
        </a:xfrm>
        <a:prstGeom prst="rect">
          <a:avLst/>
        </a:prstGeom>
      </xdr:spPr>
    </xdr:pic>
    <xdr:clientData/>
  </xdr:twoCellAnchor>
  <xdr:twoCellAnchor editAs="oneCell">
    <xdr:from>
      <xdr:col>0</xdr:col>
      <xdr:colOff>161925</xdr:colOff>
      <xdr:row>15</xdr:row>
      <xdr:rowOff>85725</xdr:rowOff>
    </xdr:from>
    <xdr:to>
      <xdr:col>0</xdr:col>
      <xdr:colOff>428625</xdr:colOff>
      <xdr:row>16</xdr:row>
      <xdr:rowOff>161925</xdr:rowOff>
    </xdr:to>
    <xdr:pic>
      <xdr:nvPicPr>
        <xdr:cNvPr id="20" name="Picture 19" descr="SHOPPING CENTERS2 | สาระ ความรู้ ข่าวสาร ความบันเทิง ของ ..."/>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artisticChalkSketch/>
                  </a14:imgEffect>
                </a14:imgLayer>
              </a14:imgProps>
            </a:ext>
            <a:ext uri="{28A0092B-C50C-407E-A947-70E740481C1C}">
              <a14:useLocalDpi xmlns:a14="http://schemas.microsoft.com/office/drawing/2010/main" val="0"/>
            </a:ext>
          </a:extLst>
        </a:blip>
        <a:stretch>
          <a:fillRect/>
        </a:stretch>
      </xdr:blipFill>
      <xdr:spPr>
        <a:xfrm>
          <a:off x="161925" y="2943225"/>
          <a:ext cx="266700" cy="266700"/>
        </a:xfrm>
        <a:prstGeom prst="rect">
          <a:avLst/>
        </a:prstGeom>
      </xdr:spPr>
    </xdr:pic>
    <xdr:clientData/>
  </xdr:twoCellAnchor>
  <xdr:twoCellAnchor editAs="oneCell">
    <xdr:from>
      <xdr:col>0</xdr:col>
      <xdr:colOff>161925</xdr:colOff>
      <xdr:row>27</xdr:row>
      <xdr:rowOff>28575</xdr:rowOff>
    </xdr:from>
    <xdr:to>
      <xdr:col>0</xdr:col>
      <xdr:colOff>428625</xdr:colOff>
      <xdr:row>28</xdr:row>
      <xdr:rowOff>104775</xdr:rowOff>
    </xdr:to>
    <xdr:pic>
      <xdr:nvPicPr>
        <xdr:cNvPr id="21" name="Picture 20" descr="SHOPPING CENTERS2 | สาระ ความรู้ ข่าวสาร ความบันเทิง ของ ..."/>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artisticChalkSketch/>
                  </a14:imgEffect>
                </a14:imgLayer>
              </a14:imgProps>
            </a:ext>
            <a:ext uri="{28A0092B-C50C-407E-A947-70E740481C1C}">
              <a14:useLocalDpi xmlns:a14="http://schemas.microsoft.com/office/drawing/2010/main" val="0"/>
            </a:ext>
          </a:extLst>
        </a:blip>
        <a:stretch>
          <a:fillRect/>
        </a:stretch>
      </xdr:blipFill>
      <xdr:spPr>
        <a:xfrm>
          <a:off x="161925" y="5172075"/>
          <a:ext cx="266700" cy="266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xdr:col>
          <xdr:colOff>406575</xdr:colOff>
          <xdr:row>4</xdr:row>
          <xdr:rowOff>142875</xdr:rowOff>
        </xdr:from>
        <xdr:to>
          <xdr:col>2</xdr:col>
          <xdr:colOff>435150</xdr:colOff>
          <xdr:row>6</xdr:row>
          <xdr:rowOff>152400</xdr:rowOff>
        </xdr:to>
        <xdr:pic>
          <xdr:nvPicPr>
            <xdr:cNvPr id="25" name="Picture 24"/>
            <xdr:cNvPicPr>
              <a:picLocks noChangeAspect="1" noChangeArrowheads="1"/>
              <a:extLst>
                <a:ext uri="{84589F7E-364E-4C9E-8A38-B11213B215E9}">
                  <a14:cameraTool cellRange="Details!$R$4:$S$5" spid="_x0000_s17258"/>
                </a:ext>
              </a:extLst>
            </xdr:cNvPicPr>
          </xdr:nvPicPr>
          <xdr:blipFill>
            <a:blip xmlns:r="http://schemas.openxmlformats.org/officeDocument/2006/relationships" r:embed="rId7"/>
            <a:srcRect/>
            <a:stretch>
              <a:fillRect/>
            </a:stretch>
          </xdr:blipFill>
          <xdr:spPr bwMode="auto">
            <a:xfrm>
              <a:off x="1016175" y="904875"/>
              <a:ext cx="638175" cy="390525"/>
            </a:xfrm>
            <a:prstGeom prst="rect">
              <a:avLst/>
            </a:prstGeom>
            <a:noFill/>
            <a:ln w="9525">
              <a:noFill/>
              <a:miter lim="800000"/>
              <a:headEnd/>
              <a:tailEnd/>
            </a:ln>
          </xdr:spPr>
        </xdr:pic>
        <xdr:clientData/>
      </xdr:twoCellAnchor>
    </mc:Choice>
    <mc:Fallback/>
  </mc:AlternateContent>
  <xdr:twoCellAnchor editAs="absolute">
    <xdr:from>
      <xdr:col>0</xdr:col>
      <xdr:colOff>475726</xdr:colOff>
      <xdr:row>3</xdr:row>
      <xdr:rowOff>95250</xdr:rowOff>
    </xdr:from>
    <xdr:to>
      <xdr:col>3</xdr:col>
      <xdr:colOff>365998</xdr:colOff>
      <xdr:row>4</xdr:row>
      <xdr:rowOff>152400</xdr:rowOff>
    </xdr:to>
    <xdr:sp macro="" textlink="">
      <xdr:nvSpPr>
        <xdr:cNvPr id="19" name="Rectangle 18"/>
        <xdr:cNvSpPr/>
      </xdr:nvSpPr>
      <xdr:spPr>
        <a:xfrm>
          <a:off x="475726" y="6667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Ban</a:t>
          </a:r>
          <a:r>
            <a:rPr lang="en-US" sz="1200" b="1" baseline="0">
              <a:solidFill>
                <a:srgbClr val="D6D0CC"/>
              </a:solidFill>
              <a:latin typeface="Adobe Caslon Pro" panose="0205050205050A020403" pitchFamily="18" charset="0"/>
            </a:rPr>
            <a:t> giám đốc º</a:t>
          </a:r>
          <a:endParaRPr lang="en-US" sz="1200" b="1">
            <a:solidFill>
              <a:srgbClr val="D6D0CC"/>
            </a:solidFill>
            <a:latin typeface="Adobe Caslon Pro" panose="0205050205050A020403" pitchFamily="18" charset="0"/>
          </a:endParaRPr>
        </a:p>
      </xdr:txBody>
    </xdr:sp>
    <xdr:clientData/>
  </xdr:twoCellAnchor>
  <xdr:twoCellAnchor editAs="absolute">
    <xdr:from>
      <xdr:col>1</xdr:col>
      <xdr:colOff>90154</xdr:colOff>
      <xdr:row>8</xdr:row>
      <xdr:rowOff>90487</xdr:rowOff>
    </xdr:from>
    <xdr:to>
      <xdr:col>3</xdr:col>
      <xdr:colOff>141970</xdr:colOff>
      <xdr:row>15</xdr:row>
      <xdr:rowOff>28575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xdr:col>
      <xdr:colOff>471177</xdr:colOff>
      <xdr:row>8</xdr:row>
      <xdr:rowOff>90487</xdr:rowOff>
    </xdr:from>
    <xdr:to>
      <xdr:col>5</xdr:col>
      <xdr:colOff>522993</xdr:colOff>
      <xdr:row>15</xdr:row>
      <xdr:rowOff>28575</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xdr:col>
      <xdr:colOff>247149</xdr:colOff>
      <xdr:row>3</xdr:row>
      <xdr:rowOff>95250</xdr:rowOff>
    </xdr:from>
    <xdr:to>
      <xdr:col>6</xdr:col>
      <xdr:colOff>137421</xdr:colOff>
      <xdr:row>4</xdr:row>
      <xdr:rowOff>152400</xdr:rowOff>
    </xdr:to>
    <xdr:sp macro="" textlink="">
      <xdr:nvSpPr>
        <xdr:cNvPr id="29" name="Rectangle 28"/>
        <xdr:cNvSpPr/>
      </xdr:nvSpPr>
      <xdr:spPr>
        <a:xfrm>
          <a:off x="2075949" y="6667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Chẩn</a:t>
          </a:r>
          <a:r>
            <a:rPr lang="en-US" sz="1200" b="1" baseline="0">
              <a:solidFill>
                <a:srgbClr val="D6D0CC"/>
              </a:solidFill>
              <a:latin typeface="Adobe Caslon Pro" panose="0205050205050A020403" pitchFamily="18" charset="0"/>
            </a:rPr>
            <a:t> đoán hình ảnh º</a:t>
          </a:r>
          <a:endParaRPr lang="en-US" sz="1200" b="1">
            <a:solidFill>
              <a:srgbClr val="D6D0CC"/>
            </a:solidFill>
            <a:latin typeface="Adobe Caslon Pro" panose="0205050205050A020403" pitchFamily="18"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568523</xdr:colOff>
          <xdr:row>4</xdr:row>
          <xdr:rowOff>142875</xdr:rowOff>
        </xdr:from>
        <xdr:to>
          <xdr:col>5</xdr:col>
          <xdr:colOff>425648</xdr:colOff>
          <xdr:row>6</xdr:row>
          <xdr:rowOff>152400</xdr:rowOff>
        </xdr:to>
        <xdr:pic>
          <xdr:nvPicPr>
            <xdr:cNvPr id="33" name="Picture 32"/>
            <xdr:cNvPicPr>
              <a:picLocks noChangeAspect="1" noChangeArrowheads="1"/>
              <a:extLst>
                <a:ext uri="{84589F7E-364E-4C9E-8A38-B11213B215E9}">
                  <a14:cameraTool cellRange="Details!$R$11:$U$12" spid="_x0000_s17259"/>
                </a:ext>
              </a:extLst>
            </xdr:cNvPicPr>
          </xdr:nvPicPr>
          <xdr:blipFill>
            <a:blip xmlns:r="http://schemas.openxmlformats.org/officeDocument/2006/relationships" r:embed="rId10"/>
            <a:srcRect/>
            <a:stretch>
              <a:fillRect/>
            </a:stretch>
          </xdr:blipFill>
          <xdr:spPr bwMode="auto">
            <a:xfrm>
              <a:off x="2397323" y="904875"/>
              <a:ext cx="1076325" cy="390525"/>
            </a:xfrm>
            <a:prstGeom prst="rect">
              <a:avLst/>
            </a:prstGeom>
            <a:no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155868</xdr:colOff>
          <xdr:row>4</xdr:row>
          <xdr:rowOff>142875</xdr:rowOff>
        </xdr:from>
        <xdr:to>
          <xdr:col>8</xdr:col>
          <xdr:colOff>546393</xdr:colOff>
          <xdr:row>9</xdr:row>
          <xdr:rowOff>152400</xdr:rowOff>
        </xdr:to>
        <xdr:pic>
          <xdr:nvPicPr>
            <xdr:cNvPr id="26" name="Picture 25"/>
            <xdr:cNvPicPr>
              <a:picLocks noChangeAspect="1" noChangeArrowheads="1"/>
              <a:extLst>
                <a:ext uri="{84589F7E-364E-4C9E-8A38-B11213B215E9}">
                  <a14:cameraTool cellRange="Details!$R$24:$W$28" spid="_x0000_s17260"/>
                </a:ext>
              </a:extLst>
            </xdr:cNvPicPr>
          </xdr:nvPicPr>
          <xdr:blipFill>
            <a:blip xmlns:r="http://schemas.openxmlformats.org/officeDocument/2006/relationships" r:embed="rId11"/>
            <a:srcRect/>
            <a:stretch>
              <a:fillRect/>
            </a:stretch>
          </xdr:blipFill>
          <xdr:spPr bwMode="auto">
            <a:xfrm>
              <a:off x="3813468" y="904875"/>
              <a:ext cx="1609725" cy="962025"/>
            </a:xfrm>
            <a:prstGeom prst="rect">
              <a:avLst/>
            </a:prstGeom>
            <a:noFill/>
            <a:ln w="9525">
              <a:noFill/>
              <a:miter lim="800000"/>
              <a:headEnd/>
              <a:tailEnd/>
            </a:ln>
          </xdr:spPr>
        </xdr:pic>
        <xdr:clientData/>
      </xdr:twoCellAnchor>
    </mc:Choice>
    <mc:Fallback/>
  </mc:AlternateContent>
  <xdr:twoCellAnchor editAs="absolute">
    <xdr:from>
      <xdr:col>6</xdr:col>
      <xdr:colOff>101194</xdr:colOff>
      <xdr:row>3</xdr:row>
      <xdr:rowOff>95250</xdr:rowOff>
    </xdr:from>
    <xdr:to>
      <xdr:col>8</xdr:col>
      <xdr:colOff>601066</xdr:colOff>
      <xdr:row>4</xdr:row>
      <xdr:rowOff>152400</xdr:rowOff>
    </xdr:to>
    <xdr:sp macro="" textlink="">
      <xdr:nvSpPr>
        <xdr:cNvPr id="27" name="Rectangle 26"/>
        <xdr:cNvSpPr/>
      </xdr:nvSpPr>
      <xdr:spPr>
        <a:xfrm>
          <a:off x="3758794" y="6667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Điều</a:t>
          </a:r>
          <a:r>
            <a:rPr lang="en-US" sz="1200" b="1" baseline="0">
              <a:solidFill>
                <a:srgbClr val="D6D0CC"/>
              </a:solidFill>
              <a:latin typeface="Adobe Caslon Pro" panose="0205050205050A020403" pitchFamily="18" charset="0"/>
            </a:rPr>
            <a:t> dưỡng º</a:t>
          </a:r>
          <a:endParaRPr lang="en-US" sz="1200" b="1">
            <a:solidFill>
              <a:srgbClr val="D6D0CC"/>
            </a:solidFill>
            <a:latin typeface="Adobe Caslon Pro" panose="0205050205050A020403" pitchFamily="18" charset="0"/>
          </a:endParaRPr>
        </a:p>
      </xdr:txBody>
    </xdr:sp>
    <xdr:clientData/>
  </xdr:twoCellAnchor>
  <xdr:twoCellAnchor editAs="absolute">
    <xdr:from>
      <xdr:col>6</xdr:col>
      <xdr:colOff>325222</xdr:colOff>
      <xdr:row>8</xdr:row>
      <xdr:rowOff>90487</xdr:rowOff>
    </xdr:from>
    <xdr:to>
      <xdr:col>8</xdr:col>
      <xdr:colOff>377038</xdr:colOff>
      <xdr:row>15</xdr:row>
      <xdr:rowOff>28575</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15</xdr:col>
      <xdr:colOff>114300</xdr:colOff>
      <xdr:row>26</xdr:row>
      <xdr:rowOff>155042</xdr:rowOff>
    </xdr:from>
    <xdr:to>
      <xdr:col>15</xdr:col>
      <xdr:colOff>498870</xdr:colOff>
      <xdr:row>28</xdr:row>
      <xdr:rowOff>133348</xdr:rowOff>
    </xdr:to>
    <xdr:pic>
      <xdr:nvPicPr>
        <xdr:cNvPr id="18" name="Picture 17" descr="File:Community Noun project 2280.svg - Wikimedia Commons"/>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258300" y="5108042"/>
          <a:ext cx="384570" cy="359306"/>
        </a:xfrm>
        <a:prstGeom prst="rect">
          <a:avLst/>
        </a:prstGeom>
      </xdr:spPr>
    </xdr:pic>
    <xdr:clientData/>
  </xdr:twoCellAnchor>
  <xdr:twoCellAnchor editAs="oneCell">
    <xdr:from>
      <xdr:col>20</xdr:col>
      <xdr:colOff>123825</xdr:colOff>
      <xdr:row>18</xdr:row>
      <xdr:rowOff>76201</xdr:rowOff>
    </xdr:from>
    <xdr:to>
      <xdr:col>20</xdr:col>
      <xdr:colOff>476251</xdr:colOff>
      <xdr:row>20</xdr:row>
      <xdr:rowOff>1</xdr:rowOff>
    </xdr:to>
    <xdr:pic>
      <xdr:nvPicPr>
        <xdr:cNvPr id="31" name="Picture 30" descr="&lt;strong&gt;Icon&lt;/strong&gt; Calendar Stylized Vector · Free image on Pixabay"/>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315825" y="3505201"/>
          <a:ext cx="352426" cy="304800"/>
        </a:xfrm>
        <a:prstGeom prst="rect">
          <a:avLst/>
        </a:prstGeom>
      </xdr:spPr>
    </xdr:pic>
    <xdr:clientData/>
  </xdr:twoCellAnchor>
  <xdr:twoCellAnchor editAs="absolute">
    <xdr:from>
      <xdr:col>9</xdr:col>
      <xdr:colOff>197690</xdr:colOff>
      <xdr:row>8</xdr:row>
      <xdr:rowOff>90487</xdr:rowOff>
    </xdr:from>
    <xdr:to>
      <xdr:col>11</xdr:col>
      <xdr:colOff>249506</xdr:colOff>
      <xdr:row>15</xdr:row>
      <xdr:rowOff>28575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absolute">
        <xdr:from>
          <xdr:col>9</xdr:col>
          <xdr:colOff>161686</xdr:colOff>
          <xdr:row>4</xdr:row>
          <xdr:rowOff>142875</xdr:rowOff>
        </xdr:from>
        <xdr:to>
          <xdr:col>11</xdr:col>
          <xdr:colOff>285511</xdr:colOff>
          <xdr:row>6</xdr:row>
          <xdr:rowOff>152400</xdr:rowOff>
        </xdr:to>
        <xdr:pic>
          <xdr:nvPicPr>
            <xdr:cNvPr id="34" name="Picture 33"/>
            <xdr:cNvPicPr>
              <a:picLocks noChangeAspect="1" noChangeArrowheads="1"/>
              <a:extLst>
                <a:ext uri="{84589F7E-364E-4C9E-8A38-B11213B215E9}">
                  <a14:cameraTool cellRange="Details!$S$54:$W$55" spid="_x0000_s17261"/>
                </a:ext>
              </a:extLst>
            </xdr:cNvPicPr>
          </xdr:nvPicPr>
          <xdr:blipFill>
            <a:blip xmlns:r="http://schemas.openxmlformats.org/officeDocument/2006/relationships" r:embed="rId16"/>
            <a:srcRect/>
            <a:stretch>
              <a:fillRect/>
            </a:stretch>
          </xdr:blipFill>
          <xdr:spPr bwMode="auto">
            <a:xfrm>
              <a:off x="5648086" y="904875"/>
              <a:ext cx="1343025" cy="390525"/>
            </a:xfrm>
            <a:prstGeom prst="rect">
              <a:avLst/>
            </a:prstGeom>
            <a:noFill/>
            <a:ln w="9525">
              <a:noFill/>
              <a:miter lim="800000"/>
              <a:headEnd/>
              <a:tailEnd/>
            </a:ln>
          </xdr:spPr>
        </xdr:pic>
        <xdr:clientData/>
      </xdr:twoCellAnchor>
    </mc:Choice>
    <mc:Fallback/>
  </mc:AlternateContent>
  <xdr:twoCellAnchor editAs="absolute">
    <xdr:from>
      <xdr:col>8</xdr:col>
      <xdr:colOff>583262</xdr:colOff>
      <xdr:row>3</xdr:row>
      <xdr:rowOff>95250</xdr:rowOff>
    </xdr:from>
    <xdr:to>
      <xdr:col>11</xdr:col>
      <xdr:colOff>473534</xdr:colOff>
      <xdr:row>4</xdr:row>
      <xdr:rowOff>152400</xdr:rowOff>
    </xdr:to>
    <xdr:sp macro="" textlink="">
      <xdr:nvSpPr>
        <xdr:cNvPr id="35" name="Rectangle 34"/>
        <xdr:cNvSpPr/>
      </xdr:nvSpPr>
      <xdr:spPr>
        <a:xfrm>
          <a:off x="5460062" y="6667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a:t>
          </a:r>
          <a:r>
            <a:rPr lang="en-US" sz="1200" b="1" baseline="0">
              <a:solidFill>
                <a:srgbClr val="D6D0CC"/>
              </a:solidFill>
              <a:latin typeface="Adobe Caslon Pro" panose="0205050205050A020403" pitchFamily="18" charset="0"/>
            </a:rPr>
            <a:t> Dược º</a:t>
          </a:r>
          <a:endParaRPr lang="en-US" sz="1200" b="1">
            <a:solidFill>
              <a:srgbClr val="D6D0CC"/>
            </a:solidFill>
            <a:latin typeface="Adobe Caslon Pro" panose="0205050205050A020403" pitchFamily="18" charset="0"/>
          </a:endParaRPr>
        </a:p>
      </xdr:txBody>
    </xdr:sp>
    <xdr:clientData/>
  </xdr:twoCellAnchor>
  <xdr:twoCellAnchor editAs="absolute">
    <xdr:from>
      <xdr:col>11</xdr:col>
      <xdr:colOff>413797</xdr:colOff>
      <xdr:row>3</xdr:row>
      <xdr:rowOff>95250</xdr:rowOff>
    </xdr:from>
    <xdr:to>
      <xdr:col>14</xdr:col>
      <xdr:colOff>304069</xdr:colOff>
      <xdr:row>4</xdr:row>
      <xdr:rowOff>152400</xdr:rowOff>
    </xdr:to>
    <xdr:sp macro="" textlink="">
      <xdr:nvSpPr>
        <xdr:cNvPr id="36" name="Rectangle 35"/>
        <xdr:cNvSpPr/>
      </xdr:nvSpPr>
      <xdr:spPr>
        <a:xfrm>
          <a:off x="7119397" y="6667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Kế</a:t>
          </a:r>
          <a:r>
            <a:rPr lang="en-US" sz="1200" b="1" baseline="0">
              <a:solidFill>
                <a:srgbClr val="D6D0CC"/>
              </a:solidFill>
              <a:latin typeface="Adobe Caslon Pro" panose="0205050205050A020403" pitchFamily="18" charset="0"/>
            </a:rPr>
            <a:t> hoạch tổng hợp º</a:t>
          </a:r>
          <a:endParaRPr lang="en-US" sz="1200" b="1">
            <a:solidFill>
              <a:srgbClr val="D6D0CC"/>
            </a:solidFill>
            <a:latin typeface="Adobe Caslon Pro" panose="0205050205050A020403" pitchFamily="18" charset="0"/>
          </a:endParaRPr>
        </a:p>
      </xdr:txBody>
    </xdr:sp>
    <xdr:clientData/>
  </xdr:twoCellAnchor>
  <mc:AlternateContent xmlns:mc="http://schemas.openxmlformats.org/markup-compatibility/2006">
    <mc:Choice xmlns:a14="http://schemas.microsoft.com/office/drawing/2010/main" Requires="a14">
      <xdr:twoCellAnchor editAs="absolute">
        <xdr:from>
          <xdr:col>12</xdr:col>
          <xdr:colOff>392271</xdr:colOff>
          <xdr:row>4</xdr:row>
          <xdr:rowOff>142875</xdr:rowOff>
        </xdr:from>
        <xdr:to>
          <xdr:col>13</xdr:col>
          <xdr:colOff>325596</xdr:colOff>
          <xdr:row>6</xdr:row>
          <xdr:rowOff>152400</xdr:rowOff>
        </xdr:to>
        <xdr:pic>
          <xdr:nvPicPr>
            <xdr:cNvPr id="37" name="Picture 36"/>
            <xdr:cNvPicPr>
              <a:picLocks noChangeAspect="1" noChangeArrowheads="1"/>
              <a:extLst>
                <a:ext uri="{84589F7E-364E-4C9E-8A38-B11213B215E9}">
                  <a14:cameraTool cellRange="Details!$S$69:$T$70" spid="_x0000_s17262"/>
                </a:ext>
              </a:extLst>
            </xdr:cNvPicPr>
          </xdr:nvPicPr>
          <xdr:blipFill>
            <a:blip xmlns:r="http://schemas.openxmlformats.org/officeDocument/2006/relationships" r:embed="rId7"/>
            <a:srcRect/>
            <a:stretch>
              <a:fillRect/>
            </a:stretch>
          </xdr:blipFill>
          <xdr:spPr bwMode="auto">
            <a:xfrm>
              <a:off x="7707471" y="904875"/>
              <a:ext cx="542925" cy="390525"/>
            </a:xfrm>
            <a:prstGeom prst="rect">
              <a:avLst/>
            </a:prstGeom>
            <a:noFill/>
            <a:ln w="9525">
              <a:noFill/>
              <a:miter lim="800000"/>
              <a:headEnd/>
              <a:tailEnd/>
            </a:ln>
          </xdr:spPr>
        </xdr:pic>
        <xdr:clientData/>
      </xdr:twoCellAnchor>
    </mc:Choice>
    <mc:Fallback/>
  </mc:AlternateContent>
  <xdr:twoCellAnchor editAs="absolute">
    <xdr:from>
      <xdr:col>12</xdr:col>
      <xdr:colOff>28225</xdr:colOff>
      <xdr:row>8</xdr:row>
      <xdr:rowOff>90487</xdr:rowOff>
    </xdr:from>
    <xdr:to>
      <xdr:col>14</xdr:col>
      <xdr:colOff>80041</xdr:colOff>
      <xdr:row>15</xdr:row>
      <xdr:rowOff>28575</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456676</xdr:colOff>
      <xdr:row>15</xdr:row>
      <xdr:rowOff>9525</xdr:rowOff>
    </xdr:from>
    <xdr:to>
      <xdr:col>3</xdr:col>
      <xdr:colOff>346948</xdr:colOff>
      <xdr:row>16</xdr:row>
      <xdr:rowOff>66675</xdr:rowOff>
    </xdr:to>
    <xdr:sp macro="" textlink="">
      <xdr:nvSpPr>
        <xdr:cNvPr id="39" name="Rectangle 38"/>
        <xdr:cNvSpPr/>
      </xdr:nvSpPr>
      <xdr:spPr>
        <a:xfrm>
          <a:off x="456676" y="2867025"/>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Nội</a:t>
          </a:r>
          <a:r>
            <a:rPr lang="en-US" sz="1200" b="1" baseline="0">
              <a:solidFill>
                <a:srgbClr val="D6D0CC"/>
              </a:solidFill>
              <a:latin typeface="Adobe Caslon Pro" panose="0205050205050A020403" pitchFamily="18" charset="0"/>
            </a:rPr>
            <a:t> º</a:t>
          </a:r>
          <a:endParaRPr lang="en-US" sz="1200" b="1">
            <a:solidFill>
              <a:srgbClr val="D6D0CC"/>
            </a:solidFill>
            <a:latin typeface="Adobe Caslon Pro" panose="0205050205050A020403" pitchFamily="18" charset="0"/>
          </a:endParaRPr>
        </a:p>
      </xdr:txBody>
    </xdr:sp>
    <xdr:clientData/>
  </xdr:twoCellAnchor>
  <xdr:twoCellAnchor editAs="absolute">
    <xdr:from>
      <xdr:col>3</xdr:col>
      <xdr:colOff>284031</xdr:colOff>
      <xdr:row>15</xdr:row>
      <xdr:rowOff>9525</xdr:rowOff>
    </xdr:from>
    <xdr:to>
      <xdr:col>6</xdr:col>
      <xdr:colOff>174303</xdr:colOff>
      <xdr:row>16</xdr:row>
      <xdr:rowOff>66675</xdr:rowOff>
    </xdr:to>
    <xdr:sp macro="" textlink="">
      <xdr:nvSpPr>
        <xdr:cNvPr id="40" name="Rectangle 39"/>
        <xdr:cNvSpPr/>
      </xdr:nvSpPr>
      <xdr:spPr>
        <a:xfrm>
          <a:off x="2112831" y="2867025"/>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Răng-Hàm-Mặt</a:t>
          </a:r>
          <a:r>
            <a:rPr lang="en-US" sz="1200" b="1" baseline="0">
              <a:solidFill>
                <a:srgbClr val="D6D0CC"/>
              </a:solidFill>
              <a:latin typeface="Adobe Caslon Pro" panose="0205050205050A020403" pitchFamily="18" charset="0"/>
            </a:rPr>
            <a:t> º</a:t>
          </a:r>
          <a:endParaRPr lang="en-US" sz="1200" b="1">
            <a:solidFill>
              <a:srgbClr val="D6D0CC"/>
            </a:solidFill>
            <a:latin typeface="Adobe Caslon Pro" panose="0205050205050A020403" pitchFamily="18" charset="0"/>
          </a:endParaRPr>
        </a:p>
      </xdr:txBody>
    </xdr:sp>
    <xdr:clientData/>
  </xdr:twoCellAnchor>
  <xdr:twoCellAnchor editAs="absolute">
    <xdr:from>
      <xdr:col>6</xdr:col>
      <xdr:colOff>111386</xdr:colOff>
      <xdr:row>15</xdr:row>
      <xdr:rowOff>9525</xdr:rowOff>
    </xdr:from>
    <xdr:to>
      <xdr:col>9</xdr:col>
      <xdr:colOff>1658</xdr:colOff>
      <xdr:row>16</xdr:row>
      <xdr:rowOff>66675</xdr:rowOff>
    </xdr:to>
    <xdr:sp macro="" textlink="">
      <xdr:nvSpPr>
        <xdr:cNvPr id="41" name="Rectangle 40"/>
        <xdr:cNvSpPr/>
      </xdr:nvSpPr>
      <xdr:spPr>
        <a:xfrm>
          <a:off x="3768986" y="2867025"/>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Sản</a:t>
          </a:r>
          <a:r>
            <a:rPr lang="en-US" sz="1200" b="1" baseline="0">
              <a:solidFill>
                <a:srgbClr val="D6D0CC"/>
              </a:solidFill>
              <a:latin typeface="Adobe Caslon Pro" panose="0205050205050A020403" pitchFamily="18" charset="0"/>
            </a:rPr>
            <a:t> º</a:t>
          </a:r>
          <a:endParaRPr lang="en-US" sz="1200" b="1">
            <a:solidFill>
              <a:srgbClr val="D6D0CC"/>
            </a:solidFill>
            <a:latin typeface="Adobe Caslon Pro" panose="0205050205050A020403" pitchFamily="18" charset="0"/>
          </a:endParaRPr>
        </a:p>
      </xdr:txBody>
    </xdr:sp>
    <xdr:clientData/>
  </xdr:twoCellAnchor>
  <xdr:twoCellAnchor editAs="absolute">
    <xdr:from>
      <xdr:col>8</xdr:col>
      <xdr:colOff>548341</xdr:colOff>
      <xdr:row>15</xdr:row>
      <xdr:rowOff>9525</xdr:rowOff>
    </xdr:from>
    <xdr:to>
      <xdr:col>11</xdr:col>
      <xdr:colOff>438613</xdr:colOff>
      <xdr:row>16</xdr:row>
      <xdr:rowOff>66675</xdr:rowOff>
    </xdr:to>
    <xdr:sp macro="" textlink="">
      <xdr:nvSpPr>
        <xdr:cNvPr id="42" name="Rectangle 41"/>
        <xdr:cNvSpPr/>
      </xdr:nvSpPr>
      <xdr:spPr>
        <a:xfrm>
          <a:off x="5425141" y="2867025"/>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a:t>
          </a:r>
          <a:r>
            <a:rPr lang="en-US" sz="1200" b="1" baseline="0">
              <a:solidFill>
                <a:srgbClr val="D6D0CC"/>
              </a:solidFill>
              <a:latin typeface="Adobe Caslon Pro" panose="0205050205050A020403" pitchFamily="18" charset="0"/>
            </a:rPr>
            <a:t>Tài chính-Kế toán º</a:t>
          </a:r>
          <a:endParaRPr lang="en-US" sz="1200" b="1">
            <a:solidFill>
              <a:srgbClr val="D6D0CC"/>
            </a:solidFill>
            <a:latin typeface="Adobe Caslon Pro" panose="0205050205050A020403" pitchFamily="18" charset="0"/>
          </a:endParaRPr>
        </a:p>
      </xdr:txBody>
    </xdr:sp>
    <xdr:clientData/>
  </xdr:twoCellAnchor>
  <xdr:twoCellAnchor editAs="absolute">
    <xdr:from>
      <xdr:col>11</xdr:col>
      <xdr:colOff>375697</xdr:colOff>
      <xdr:row>15</xdr:row>
      <xdr:rowOff>9525</xdr:rowOff>
    </xdr:from>
    <xdr:to>
      <xdr:col>14</xdr:col>
      <xdr:colOff>265969</xdr:colOff>
      <xdr:row>16</xdr:row>
      <xdr:rowOff>66675</xdr:rowOff>
    </xdr:to>
    <xdr:sp macro="" textlink="">
      <xdr:nvSpPr>
        <xdr:cNvPr id="43" name="Rectangle 42"/>
        <xdr:cNvSpPr/>
      </xdr:nvSpPr>
      <xdr:spPr>
        <a:xfrm>
          <a:off x="7081297" y="2867025"/>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Xét</a:t>
          </a:r>
          <a:r>
            <a:rPr lang="en-US" sz="1200" b="1" baseline="0">
              <a:solidFill>
                <a:srgbClr val="D6D0CC"/>
              </a:solidFill>
              <a:latin typeface="Adobe Caslon Pro" panose="0205050205050A020403" pitchFamily="18" charset="0"/>
            </a:rPr>
            <a:t> nghiệm º</a:t>
          </a:r>
          <a:endParaRPr lang="en-US" sz="1200" b="1">
            <a:solidFill>
              <a:srgbClr val="D6D0CC"/>
            </a:solidFill>
            <a:latin typeface="Adobe Caslon Pro" panose="0205050205050A020403" pitchFamily="18" charset="0"/>
          </a:endParaRPr>
        </a:p>
      </xdr:txBody>
    </xdr:sp>
    <xdr:clientData/>
  </xdr:twoCellAnchor>
  <xdr:twoCellAnchor editAs="absolute">
    <xdr:from>
      <xdr:col>0</xdr:col>
      <xdr:colOff>437626</xdr:colOff>
      <xdr:row>26</xdr:row>
      <xdr:rowOff>133350</xdr:rowOff>
    </xdr:from>
    <xdr:to>
      <xdr:col>3</xdr:col>
      <xdr:colOff>327898</xdr:colOff>
      <xdr:row>28</xdr:row>
      <xdr:rowOff>0</xdr:rowOff>
    </xdr:to>
    <xdr:sp macro="" textlink="">
      <xdr:nvSpPr>
        <xdr:cNvPr id="44" name="Rectangle 43"/>
        <xdr:cNvSpPr/>
      </xdr:nvSpPr>
      <xdr:spPr>
        <a:xfrm>
          <a:off x="437626" y="50863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Ngoại</a:t>
          </a:r>
          <a:r>
            <a:rPr lang="en-US" sz="1200" b="1" baseline="0">
              <a:solidFill>
                <a:srgbClr val="D6D0CC"/>
              </a:solidFill>
              <a:latin typeface="Adobe Caslon Pro" panose="0205050205050A020403" pitchFamily="18" charset="0"/>
            </a:rPr>
            <a:t> º</a:t>
          </a:r>
          <a:endParaRPr lang="en-US" sz="1200" b="1">
            <a:solidFill>
              <a:srgbClr val="D6D0CC"/>
            </a:solidFill>
            <a:latin typeface="Adobe Caslon Pro" panose="0205050205050A020403" pitchFamily="18" charset="0"/>
          </a:endParaRPr>
        </a:p>
      </xdr:txBody>
    </xdr:sp>
    <xdr:clientData/>
  </xdr:twoCellAnchor>
  <xdr:twoCellAnchor editAs="absolute">
    <xdr:from>
      <xdr:col>3</xdr:col>
      <xdr:colOff>264981</xdr:colOff>
      <xdr:row>26</xdr:row>
      <xdr:rowOff>133350</xdr:rowOff>
    </xdr:from>
    <xdr:to>
      <xdr:col>6</xdr:col>
      <xdr:colOff>155253</xdr:colOff>
      <xdr:row>28</xdr:row>
      <xdr:rowOff>0</xdr:rowOff>
    </xdr:to>
    <xdr:sp macro="" textlink="">
      <xdr:nvSpPr>
        <xdr:cNvPr id="45" name="Rectangle 44"/>
        <xdr:cNvSpPr/>
      </xdr:nvSpPr>
      <xdr:spPr>
        <a:xfrm>
          <a:off x="2093781" y="50863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Y</a:t>
          </a:r>
          <a:r>
            <a:rPr lang="en-US" sz="1200" b="1" baseline="0">
              <a:solidFill>
                <a:srgbClr val="D6D0CC"/>
              </a:solidFill>
              <a:latin typeface="Adobe Caslon Pro" panose="0205050205050A020403" pitchFamily="18" charset="0"/>
            </a:rPr>
            <a:t> học cổ truyền º</a:t>
          </a:r>
          <a:endParaRPr lang="en-US" sz="1200" b="1">
            <a:solidFill>
              <a:srgbClr val="D6D0CC"/>
            </a:solidFill>
            <a:latin typeface="Adobe Caslon Pro" panose="0205050205050A020403" pitchFamily="18" charset="0"/>
          </a:endParaRPr>
        </a:p>
      </xdr:txBody>
    </xdr:sp>
    <xdr:clientData/>
  </xdr:twoCellAnchor>
  <xdr:twoCellAnchor editAs="absolute">
    <xdr:from>
      <xdr:col>6</xdr:col>
      <xdr:colOff>92336</xdr:colOff>
      <xdr:row>26</xdr:row>
      <xdr:rowOff>133350</xdr:rowOff>
    </xdr:from>
    <xdr:to>
      <xdr:col>8</xdr:col>
      <xdr:colOff>592208</xdr:colOff>
      <xdr:row>28</xdr:row>
      <xdr:rowOff>0</xdr:rowOff>
    </xdr:to>
    <xdr:sp macro="" textlink="">
      <xdr:nvSpPr>
        <xdr:cNvPr id="46" name="Rectangle 45"/>
        <xdr:cNvSpPr/>
      </xdr:nvSpPr>
      <xdr:spPr>
        <a:xfrm>
          <a:off x="3749936" y="5086350"/>
          <a:ext cx="1719072"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Y</a:t>
          </a:r>
          <a:r>
            <a:rPr lang="en-US" sz="1200" b="1" baseline="0">
              <a:solidFill>
                <a:srgbClr val="D6D0CC"/>
              </a:solidFill>
              <a:latin typeface="Adobe Caslon Pro" panose="0205050205050A020403" pitchFamily="18" charset="0"/>
            </a:rPr>
            <a:t> học dự phòng º</a:t>
          </a:r>
          <a:endParaRPr lang="en-US" sz="1200" b="1">
            <a:solidFill>
              <a:srgbClr val="D6D0CC"/>
            </a:solidFill>
            <a:latin typeface="Adobe Caslon Pro" panose="0205050205050A020403" pitchFamily="18" charset="0"/>
          </a:endParaRPr>
        </a:p>
      </xdr:txBody>
    </xdr:sp>
    <xdr:clientData/>
  </xdr:twoCellAnchor>
  <xdr:twoCellAnchor editAs="absolute">
    <xdr:from>
      <xdr:col>8</xdr:col>
      <xdr:colOff>529290</xdr:colOff>
      <xdr:row>26</xdr:row>
      <xdr:rowOff>133350</xdr:rowOff>
    </xdr:from>
    <xdr:to>
      <xdr:col>11</xdr:col>
      <xdr:colOff>514349</xdr:colOff>
      <xdr:row>28</xdr:row>
      <xdr:rowOff>0</xdr:rowOff>
    </xdr:to>
    <xdr:sp macro="" textlink="">
      <xdr:nvSpPr>
        <xdr:cNvPr id="47" name="Rectangle 46"/>
        <xdr:cNvSpPr/>
      </xdr:nvSpPr>
      <xdr:spPr>
        <a:xfrm>
          <a:off x="5406090" y="5086350"/>
          <a:ext cx="1813859"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D6D0CC"/>
              </a:solidFill>
              <a:latin typeface="Adobe Caslon Pro" panose="0205050205050A020403" pitchFamily="18" charset="0"/>
            </a:rPr>
            <a:t>º </a:t>
          </a:r>
          <a:r>
            <a:rPr lang="en-US" sz="1200" b="1" baseline="0">
              <a:solidFill>
                <a:srgbClr val="D6D0CC"/>
              </a:solidFill>
              <a:latin typeface="Adobe Caslon Pro" panose="0205050205050A020403" pitchFamily="18" charset="0"/>
            </a:rPr>
            <a:t> Tổ chức-Hành chính º</a:t>
          </a:r>
          <a:endParaRPr lang="en-US" sz="1200" b="1">
            <a:solidFill>
              <a:srgbClr val="D6D0CC"/>
            </a:solidFill>
            <a:latin typeface="Adobe Caslon Pro" panose="0205050205050A020403" pitchFamily="18" charset="0"/>
          </a:endParaRPr>
        </a:p>
      </xdr:txBody>
    </xdr:sp>
    <xdr:clientData/>
  </xdr:twoCellAnchor>
  <xdr:twoCellAnchor>
    <xdr:from>
      <xdr:col>12</xdr:col>
      <xdr:colOff>204788</xdr:colOff>
      <xdr:row>26</xdr:row>
      <xdr:rowOff>133350</xdr:rowOff>
    </xdr:from>
    <xdr:to>
      <xdr:col>15</xdr:col>
      <xdr:colOff>33337</xdr:colOff>
      <xdr:row>37</xdr:row>
      <xdr:rowOff>171449</xdr:rowOff>
    </xdr:to>
    <xdr:sp macro="" textlink="">
      <xdr:nvSpPr>
        <xdr:cNvPr id="49" name="Rounded Rectangle 48"/>
        <xdr:cNvSpPr/>
      </xdr:nvSpPr>
      <xdr:spPr>
        <a:xfrm>
          <a:off x="7519988" y="5086350"/>
          <a:ext cx="1657349" cy="2133599"/>
        </a:xfrm>
        <a:prstGeom prst="roundRect">
          <a:avLst>
            <a:gd name="adj" fmla="val 5163"/>
          </a:avLst>
        </a:prstGeom>
        <a:solidFill>
          <a:schemeClr val="accent6">
            <a:lumMod val="40000"/>
            <a:lumOff val="60000"/>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12</xdr:col>
      <xdr:colOff>261937</xdr:colOff>
      <xdr:row>28</xdr:row>
      <xdr:rowOff>28575</xdr:rowOff>
    </xdr:from>
    <xdr:to>
      <xdr:col>14</xdr:col>
      <xdr:colOff>585787</xdr:colOff>
      <xdr:row>30</xdr:row>
      <xdr:rowOff>85725</xdr:rowOff>
    </xdr:to>
    <xdr:sp macro="" textlink="'Chart Data '!B30">
      <xdr:nvSpPr>
        <xdr:cNvPr id="9" name="Rectangle 8"/>
        <xdr:cNvSpPr/>
      </xdr:nvSpPr>
      <xdr:spPr>
        <a:xfrm>
          <a:off x="7577137" y="5362575"/>
          <a:ext cx="1543050" cy="438150"/>
        </a:xfrm>
        <a:prstGeom prst="rect">
          <a:avLst/>
        </a:prstGeom>
        <a:solidFill>
          <a:srgbClr val="423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6A152F2A-B154-4673-BE27-DCA4504B46B7}" type="TxLink">
            <a:rPr lang="en-US" sz="1100" b="0" i="0" u="none" strike="noStrike">
              <a:solidFill>
                <a:schemeClr val="bg1"/>
              </a:solidFill>
              <a:latin typeface="Calibri"/>
              <a:cs typeface="Calibri"/>
            </a:rPr>
            <a:pPr algn="ctr"/>
            <a:t>Tam Kỳ, Quang Nam Province, Vietnam</a:t>
          </a:fld>
          <a:endParaRPr lang="en-US" sz="1100">
            <a:solidFill>
              <a:schemeClr val="bg1"/>
            </a:solidFill>
          </a:endParaRPr>
        </a:p>
      </xdr:txBody>
    </xdr:sp>
    <xdr:clientData/>
  </xdr:twoCellAnchor>
  <xdr:twoCellAnchor editAs="absolute">
    <xdr:from>
      <xdr:col>12</xdr:col>
      <xdr:colOff>261937</xdr:colOff>
      <xdr:row>32</xdr:row>
      <xdr:rowOff>66675</xdr:rowOff>
    </xdr:from>
    <xdr:to>
      <xdr:col>13</xdr:col>
      <xdr:colOff>514350</xdr:colOff>
      <xdr:row>36</xdr:row>
      <xdr:rowOff>161925</xdr:rowOff>
    </xdr:to>
    <xdr:sp macro="" textlink="'Chart Data '!A33">
      <xdr:nvSpPr>
        <xdr:cNvPr id="50" name="Rectangle 49"/>
        <xdr:cNvSpPr/>
      </xdr:nvSpPr>
      <xdr:spPr>
        <a:xfrm>
          <a:off x="7577137" y="6162675"/>
          <a:ext cx="862013" cy="857250"/>
        </a:xfrm>
        <a:prstGeom prst="rect">
          <a:avLst/>
        </a:prstGeom>
        <a:solidFill>
          <a:srgbClr val="423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4415E29-8615-43C1-BF64-8742651E4780}" type="TxLink">
            <a:rPr lang="en-US" sz="2400" b="1" i="0" u="none" strike="noStrike">
              <a:solidFill>
                <a:schemeClr val="bg1"/>
              </a:solidFill>
              <a:latin typeface="Helvetica"/>
            </a:rPr>
            <a:pPr algn="ctr"/>
            <a:t>32.4</a:t>
          </a:fld>
          <a:endParaRPr lang="en-US" sz="2400">
            <a:solidFill>
              <a:schemeClr val="bg1"/>
            </a:solidFill>
          </a:endParaRPr>
        </a:p>
      </xdr:txBody>
    </xdr:sp>
    <xdr:clientData/>
  </xdr:twoCellAnchor>
  <xdr:twoCellAnchor editAs="oneCell">
    <xdr:from>
      <xdr:col>12</xdr:col>
      <xdr:colOff>190499</xdr:colOff>
      <xdr:row>26</xdr:row>
      <xdr:rowOff>114299</xdr:rowOff>
    </xdr:from>
    <xdr:to>
      <xdr:col>12</xdr:col>
      <xdr:colOff>504824</xdr:colOff>
      <xdr:row>28</xdr:row>
      <xdr:rowOff>47624</xdr:rowOff>
    </xdr:to>
    <xdr:pic>
      <xdr:nvPicPr>
        <xdr:cNvPr id="12" name="Picture 11" descr="File:Ic pin drop 48px.svg - Wikimedia Commons"/>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05699" y="5067299"/>
          <a:ext cx="314325" cy="314325"/>
        </a:xfrm>
        <a:prstGeom prst="rect">
          <a:avLst/>
        </a:prstGeom>
      </xdr:spPr>
    </xdr:pic>
    <xdr:clientData/>
  </xdr:twoCellAnchor>
  <xdr:twoCellAnchor editAs="oneCell">
    <xdr:from>
      <xdr:col>12</xdr:col>
      <xdr:colOff>219075</xdr:colOff>
      <xdr:row>30</xdr:row>
      <xdr:rowOff>161925</xdr:rowOff>
    </xdr:from>
    <xdr:to>
      <xdr:col>12</xdr:col>
      <xdr:colOff>483235</xdr:colOff>
      <xdr:row>32</xdr:row>
      <xdr:rowOff>45085</xdr:rowOff>
    </xdr:to>
    <xdr:pic>
      <xdr:nvPicPr>
        <xdr:cNvPr id="14" name="Picture 13" descr="&lt;strong&gt;Temperature&lt;/strong&gt; &lt;strong&gt;PNG&lt;/strong&gt; Transparent Images | &lt;strong&gt;PNG&lt;/strong&gt; All"/>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7534275" y="5876925"/>
          <a:ext cx="264160" cy="264160"/>
        </a:xfrm>
        <a:prstGeom prst="rect">
          <a:avLst/>
        </a:prstGeom>
      </xdr:spPr>
    </xdr:pic>
    <xdr:clientData/>
  </xdr:twoCellAnchor>
  <xdr:twoCellAnchor editAs="absolute">
    <xdr:from>
      <xdr:col>13</xdr:col>
      <xdr:colOff>533400</xdr:colOff>
      <xdr:row>32</xdr:row>
      <xdr:rowOff>66675</xdr:rowOff>
    </xdr:from>
    <xdr:to>
      <xdr:col>14</xdr:col>
      <xdr:colOff>581026</xdr:colOff>
      <xdr:row>36</xdr:row>
      <xdr:rowOff>161925</xdr:rowOff>
    </xdr:to>
    <xdr:sp macro="" textlink=" 'Chart Data '!B33">
      <xdr:nvSpPr>
        <xdr:cNvPr id="51" name="Rectangle 50"/>
        <xdr:cNvSpPr/>
      </xdr:nvSpPr>
      <xdr:spPr>
        <a:xfrm>
          <a:off x="8458200" y="6162675"/>
          <a:ext cx="657226" cy="857250"/>
        </a:xfrm>
        <a:prstGeom prst="rect">
          <a:avLst/>
        </a:prstGeom>
        <a:solidFill>
          <a:srgbClr val="423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5EECB58-3506-4B03-A168-551C37D65843}" type="TxLink">
            <a:rPr lang="en-US" sz="2400" b="1" i="0" u="none" strike="noStrike">
              <a:solidFill>
                <a:schemeClr val="bg1"/>
              </a:solidFill>
              <a:latin typeface="Helvetica"/>
            </a:rPr>
            <a:pPr algn="ctr"/>
            <a:t>°C</a:t>
          </a:fld>
          <a:endParaRPr lang="en-US" sz="60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absolute">
        <xdr:from>
          <xdr:col>1</xdr:col>
          <xdr:colOff>168450</xdr:colOff>
          <xdr:row>16</xdr:row>
          <xdr:rowOff>57150</xdr:rowOff>
        </xdr:from>
        <xdr:to>
          <xdr:col>3</xdr:col>
          <xdr:colOff>25575</xdr:colOff>
          <xdr:row>18</xdr:row>
          <xdr:rowOff>66675</xdr:rowOff>
        </xdr:to>
        <xdr:pic>
          <xdr:nvPicPr>
            <xdr:cNvPr id="52" name="Picture 51"/>
            <xdr:cNvPicPr>
              <a:picLocks noChangeAspect="1" noChangeArrowheads="1"/>
              <a:extLst>
                <a:ext uri="{84589F7E-364E-4C9E-8A38-B11213B215E9}">
                  <a14:cameraTool cellRange="Details!$S$93:$V$94" spid="_x0000_s17263"/>
                </a:ext>
              </a:extLst>
            </xdr:cNvPicPr>
          </xdr:nvPicPr>
          <xdr:blipFill>
            <a:blip xmlns:r="http://schemas.openxmlformats.org/officeDocument/2006/relationships" r:embed="rId20"/>
            <a:srcRect/>
            <a:stretch>
              <a:fillRect/>
            </a:stretch>
          </xdr:blipFill>
          <xdr:spPr bwMode="auto">
            <a:xfrm>
              <a:off x="778050" y="3105150"/>
              <a:ext cx="1076325" cy="390525"/>
            </a:xfrm>
            <a:prstGeom prst="rect">
              <a:avLst/>
            </a:prstGeom>
            <a:noFill/>
            <a:ln w="9525">
              <a:noFill/>
              <a:miter lim="800000"/>
              <a:headEnd/>
              <a:tailEnd/>
            </a:ln>
          </xdr:spPr>
        </xdr:pic>
        <xdr:clientData/>
      </xdr:twoCellAnchor>
    </mc:Choice>
    <mc:Fallback/>
  </mc:AlternateContent>
  <xdr:twoCellAnchor editAs="absolute">
    <xdr:from>
      <xdr:col>1</xdr:col>
      <xdr:colOff>71104</xdr:colOff>
      <xdr:row>20</xdr:row>
      <xdr:rowOff>4762</xdr:rowOff>
    </xdr:from>
    <xdr:to>
      <xdr:col>3</xdr:col>
      <xdr:colOff>122920</xdr:colOff>
      <xdr:row>26</xdr:row>
      <xdr:rowOff>133350</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mc:AlternateContent xmlns:mc="http://schemas.openxmlformats.org/markup-compatibility/2006">
    <mc:Choice xmlns:a14="http://schemas.microsoft.com/office/drawing/2010/main" Requires="a14">
      <xdr:twoCellAnchor editAs="absolute">
        <xdr:from>
          <xdr:col>3</xdr:col>
          <xdr:colOff>605405</xdr:colOff>
          <xdr:row>16</xdr:row>
          <xdr:rowOff>57150</xdr:rowOff>
        </xdr:from>
        <xdr:to>
          <xdr:col>5</xdr:col>
          <xdr:colOff>462530</xdr:colOff>
          <xdr:row>18</xdr:row>
          <xdr:rowOff>66675</xdr:rowOff>
        </xdr:to>
        <xdr:pic>
          <xdr:nvPicPr>
            <xdr:cNvPr id="54" name="Picture 53"/>
            <xdr:cNvPicPr>
              <a:picLocks noChangeAspect="1" noChangeArrowheads="1"/>
              <a:extLst>
                <a:ext uri="{84589F7E-364E-4C9E-8A38-B11213B215E9}">
                  <a14:cameraTool cellRange="Details!$S$106:$V$107" spid="_x0000_s17264"/>
                </a:ext>
              </a:extLst>
            </xdr:cNvPicPr>
          </xdr:nvPicPr>
          <xdr:blipFill>
            <a:blip xmlns:r="http://schemas.openxmlformats.org/officeDocument/2006/relationships" r:embed="rId10"/>
            <a:srcRect/>
            <a:stretch>
              <a:fillRect/>
            </a:stretch>
          </xdr:blipFill>
          <xdr:spPr bwMode="auto">
            <a:xfrm>
              <a:off x="2434205" y="3105150"/>
              <a:ext cx="1076325" cy="390525"/>
            </a:xfrm>
            <a:prstGeom prst="rect">
              <a:avLst/>
            </a:prstGeom>
            <a:noFill/>
            <a:ln w="9525">
              <a:noFill/>
              <a:miter lim="800000"/>
              <a:headEnd/>
              <a:tailEnd/>
            </a:ln>
          </xdr:spPr>
        </xdr:pic>
        <xdr:clientData/>
      </xdr:twoCellAnchor>
    </mc:Choice>
    <mc:Fallback/>
  </mc:AlternateContent>
  <xdr:twoCellAnchor editAs="absolute">
    <xdr:from>
      <xdr:col>3</xdr:col>
      <xdr:colOff>508059</xdr:colOff>
      <xdr:row>20</xdr:row>
      <xdr:rowOff>4762</xdr:rowOff>
    </xdr:from>
    <xdr:to>
      <xdr:col>5</xdr:col>
      <xdr:colOff>559875</xdr:colOff>
      <xdr:row>26</xdr:row>
      <xdr:rowOff>133350</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89860</xdr:colOff>
          <xdr:row>16</xdr:row>
          <xdr:rowOff>57150</xdr:rowOff>
        </xdr:from>
        <xdr:to>
          <xdr:col>8</xdr:col>
          <xdr:colOff>23185</xdr:colOff>
          <xdr:row>18</xdr:row>
          <xdr:rowOff>66675</xdr:rowOff>
        </xdr:to>
        <xdr:pic>
          <xdr:nvPicPr>
            <xdr:cNvPr id="56" name="Picture 55"/>
            <xdr:cNvPicPr>
              <a:picLocks noChangeAspect="1" noChangeArrowheads="1"/>
              <a:extLst>
                <a:ext uri="{84589F7E-364E-4C9E-8A38-B11213B215E9}">
                  <a14:cameraTool cellRange="Details!$S$119:$T$120" spid="_x0000_s17265"/>
                </a:ext>
              </a:extLst>
            </xdr:cNvPicPr>
          </xdr:nvPicPr>
          <xdr:blipFill>
            <a:blip xmlns:r="http://schemas.openxmlformats.org/officeDocument/2006/relationships" r:embed="rId7"/>
            <a:srcRect/>
            <a:stretch>
              <a:fillRect/>
            </a:stretch>
          </xdr:blipFill>
          <xdr:spPr bwMode="auto">
            <a:xfrm>
              <a:off x="4357060" y="3105150"/>
              <a:ext cx="542925" cy="390525"/>
            </a:xfrm>
            <a:prstGeom prst="rect">
              <a:avLst/>
            </a:prstGeom>
            <a:noFill/>
            <a:ln w="9525">
              <a:noFill/>
              <a:miter lim="800000"/>
              <a:headEnd/>
              <a:tailEnd/>
            </a:ln>
          </xdr:spPr>
        </xdr:pic>
        <xdr:clientData/>
      </xdr:twoCellAnchor>
    </mc:Choice>
    <mc:Fallback/>
  </mc:AlternateContent>
  <xdr:twoCellAnchor editAs="absolute">
    <xdr:from>
      <xdr:col>6</xdr:col>
      <xdr:colOff>335414</xdr:colOff>
      <xdr:row>20</xdr:row>
      <xdr:rowOff>4762</xdr:rowOff>
    </xdr:from>
    <xdr:to>
      <xdr:col>8</xdr:col>
      <xdr:colOff>387230</xdr:colOff>
      <xdr:row>26</xdr:row>
      <xdr:rowOff>133350</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editAs="absolute">
        <xdr:from>
          <xdr:col>9</xdr:col>
          <xdr:colOff>260115</xdr:colOff>
          <xdr:row>16</xdr:row>
          <xdr:rowOff>57150</xdr:rowOff>
        </xdr:from>
        <xdr:to>
          <xdr:col>11</xdr:col>
          <xdr:colOff>117240</xdr:colOff>
          <xdr:row>18</xdr:row>
          <xdr:rowOff>66675</xdr:rowOff>
        </xdr:to>
        <xdr:pic>
          <xdr:nvPicPr>
            <xdr:cNvPr id="58" name="Picture 57"/>
            <xdr:cNvPicPr>
              <a:picLocks noChangeAspect="1" noChangeArrowheads="1"/>
              <a:extLst>
                <a:ext uri="{84589F7E-364E-4C9E-8A38-B11213B215E9}">
                  <a14:cameraTool cellRange="Details!$S$129:$V$130" spid="_x0000_s17266"/>
                </a:ext>
              </a:extLst>
            </xdr:cNvPicPr>
          </xdr:nvPicPr>
          <xdr:blipFill>
            <a:blip xmlns:r="http://schemas.openxmlformats.org/officeDocument/2006/relationships" r:embed="rId10"/>
            <a:srcRect/>
            <a:stretch>
              <a:fillRect/>
            </a:stretch>
          </xdr:blipFill>
          <xdr:spPr bwMode="auto">
            <a:xfrm>
              <a:off x="5746515" y="3105150"/>
              <a:ext cx="1076325" cy="390525"/>
            </a:xfrm>
            <a:prstGeom prst="rect">
              <a:avLst/>
            </a:prstGeom>
            <a:noFill/>
            <a:ln w="9525">
              <a:noFill/>
              <a:miter lim="800000"/>
              <a:headEnd/>
              <a:tailEnd/>
            </a:ln>
          </xdr:spPr>
        </xdr:pic>
        <xdr:clientData/>
      </xdr:twoCellAnchor>
    </mc:Choice>
    <mc:Fallback/>
  </mc:AlternateContent>
  <xdr:twoCellAnchor editAs="absolute">
    <xdr:from>
      <xdr:col>9</xdr:col>
      <xdr:colOff>162769</xdr:colOff>
      <xdr:row>20</xdr:row>
      <xdr:rowOff>4762</xdr:rowOff>
    </xdr:from>
    <xdr:to>
      <xdr:col>11</xdr:col>
      <xdr:colOff>214585</xdr:colOff>
      <xdr:row>26</xdr:row>
      <xdr:rowOff>133350</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mc:AlternateContent xmlns:mc="http://schemas.openxmlformats.org/markup-compatibility/2006">
    <mc:Choice xmlns:a14="http://schemas.microsoft.com/office/drawing/2010/main" Requires="a14">
      <xdr:twoCellAnchor editAs="absolute">
        <xdr:from>
          <xdr:col>11</xdr:col>
          <xdr:colOff>563721</xdr:colOff>
          <xdr:row>16</xdr:row>
          <xdr:rowOff>57150</xdr:rowOff>
        </xdr:from>
        <xdr:to>
          <xdr:col>14</xdr:col>
          <xdr:colOff>77946</xdr:colOff>
          <xdr:row>18</xdr:row>
          <xdr:rowOff>66675</xdr:rowOff>
        </xdr:to>
        <xdr:pic>
          <xdr:nvPicPr>
            <xdr:cNvPr id="60" name="Picture 59"/>
            <xdr:cNvPicPr>
              <a:picLocks noChangeAspect="1" noChangeArrowheads="1"/>
              <a:extLst>
                <a:ext uri="{84589F7E-364E-4C9E-8A38-B11213B215E9}">
                  <a14:cameraTool cellRange="Details!$R$142:$V$143" spid="_x0000_s17267"/>
                </a:ext>
              </a:extLst>
            </xdr:cNvPicPr>
          </xdr:nvPicPr>
          <xdr:blipFill>
            <a:blip xmlns:r="http://schemas.openxmlformats.org/officeDocument/2006/relationships" r:embed="rId16"/>
            <a:srcRect/>
            <a:stretch>
              <a:fillRect/>
            </a:stretch>
          </xdr:blipFill>
          <xdr:spPr bwMode="auto">
            <a:xfrm>
              <a:off x="7269321" y="3105150"/>
              <a:ext cx="1343025" cy="390525"/>
            </a:xfrm>
            <a:prstGeom prst="rect">
              <a:avLst/>
            </a:prstGeom>
            <a:noFill/>
            <a:ln w="9525">
              <a:noFill/>
              <a:miter lim="800000"/>
              <a:headEnd/>
              <a:tailEnd/>
            </a:ln>
          </xdr:spPr>
        </xdr:pic>
        <xdr:clientData/>
      </xdr:twoCellAnchor>
    </mc:Choice>
    <mc:Fallback/>
  </mc:AlternateContent>
  <xdr:twoCellAnchor editAs="absolute">
    <xdr:from>
      <xdr:col>11</xdr:col>
      <xdr:colOff>599725</xdr:colOff>
      <xdr:row>20</xdr:row>
      <xdr:rowOff>4762</xdr:rowOff>
    </xdr:from>
    <xdr:to>
      <xdr:col>14</xdr:col>
      <xdr:colOff>41941</xdr:colOff>
      <xdr:row>26</xdr:row>
      <xdr:rowOff>133350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mc:AlternateContent xmlns:mc="http://schemas.openxmlformats.org/markup-compatibility/2006">
    <mc:Choice xmlns:a14="http://schemas.microsoft.com/office/drawing/2010/main" Requires="a14">
      <xdr:twoCellAnchor editAs="absolute">
        <xdr:from>
          <xdr:col>1</xdr:col>
          <xdr:colOff>149400</xdr:colOff>
          <xdr:row>28</xdr:row>
          <xdr:rowOff>0</xdr:rowOff>
        </xdr:from>
        <xdr:to>
          <xdr:col>3</xdr:col>
          <xdr:colOff>6525</xdr:colOff>
          <xdr:row>30</xdr:row>
          <xdr:rowOff>9525</xdr:rowOff>
        </xdr:to>
        <xdr:pic>
          <xdr:nvPicPr>
            <xdr:cNvPr id="62" name="Picture 61"/>
            <xdr:cNvPicPr>
              <a:picLocks noChangeAspect="1" noChangeArrowheads="1"/>
              <a:extLst>
                <a:ext uri="{84589F7E-364E-4C9E-8A38-B11213B215E9}">
                  <a14:cameraTool cellRange="Details!$S$79:$V$80" spid="_x0000_s17268"/>
                </a:ext>
              </a:extLst>
            </xdr:cNvPicPr>
          </xdr:nvPicPr>
          <xdr:blipFill>
            <a:blip xmlns:r="http://schemas.openxmlformats.org/officeDocument/2006/relationships" r:embed="rId10"/>
            <a:srcRect/>
            <a:stretch>
              <a:fillRect/>
            </a:stretch>
          </xdr:blipFill>
          <xdr:spPr bwMode="auto">
            <a:xfrm>
              <a:off x="759000" y="5334000"/>
              <a:ext cx="1076325" cy="390525"/>
            </a:xfrm>
            <a:prstGeom prst="rect">
              <a:avLst/>
            </a:prstGeom>
            <a:noFill/>
            <a:ln w="9525">
              <a:noFill/>
              <a:miter lim="800000"/>
              <a:headEnd/>
              <a:tailEnd/>
            </a:ln>
          </xdr:spPr>
        </xdr:pic>
        <xdr:clientData/>
      </xdr:twoCellAnchor>
    </mc:Choice>
    <mc:Fallback/>
  </mc:AlternateContent>
  <xdr:twoCellAnchor editAs="absolute">
    <xdr:from>
      <xdr:col>1</xdr:col>
      <xdr:colOff>52054</xdr:colOff>
      <xdr:row>31</xdr:row>
      <xdr:rowOff>0</xdr:rowOff>
    </xdr:from>
    <xdr:to>
      <xdr:col>3</xdr:col>
      <xdr:colOff>103870</xdr:colOff>
      <xdr:row>37</xdr:row>
      <xdr:rowOff>128588</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mc:AlternateContent xmlns:mc="http://schemas.openxmlformats.org/markup-compatibility/2006">
    <mc:Choice xmlns:a14="http://schemas.microsoft.com/office/drawing/2010/main" Requires="a14">
      <xdr:twoCellAnchor editAs="absolute">
        <xdr:from>
          <xdr:col>3</xdr:col>
          <xdr:colOff>586355</xdr:colOff>
          <xdr:row>28</xdr:row>
          <xdr:rowOff>0</xdr:rowOff>
        </xdr:from>
        <xdr:to>
          <xdr:col>5</xdr:col>
          <xdr:colOff>443480</xdr:colOff>
          <xdr:row>30</xdr:row>
          <xdr:rowOff>9525</xdr:rowOff>
        </xdr:to>
        <xdr:pic>
          <xdr:nvPicPr>
            <xdr:cNvPr id="64" name="Picture 63"/>
            <xdr:cNvPicPr>
              <a:picLocks noChangeAspect="1" noChangeArrowheads="1"/>
              <a:extLst>
                <a:ext uri="{84589F7E-364E-4C9E-8A38-B11213B215E9}">
                  <a14:cameraTool cellRange="Details!$S$157:$V$158" spid="_x0000_s17269"/>
                </a:ext>
              </a:extLst>
            </xdr:cNvPicPr>
          </xdr:nvPicPr>
          <xdr:blipFill>
            <a:blip xmlns:r="http://schemas.openxmlformats.org/officeDocument/2006/relationships" r:embed="rId10"/>
            <a:srcRect/>
            <a:stretch>
              <a:fillRect/>
            </a:stretch>
          </xdr:blipFill>
          <xdr:spPr bwMode="auto">
            <a:xfrm>
              <a:off x="2415155" y="5334000"/>
              <a:ext cx="1076325" cy="390525"/>
            </a:xfrm>
            <a:prstGeom prst="rect">
              <a:avLst/>
            </a:prstGeom>
            <a:noFill/>
            <a:ln w="9525">
              <a:noFill/>
              <a:miter lim="800000"/>
              <a:headEnd/>
              <a:tailEnd/>
            </a:ln>
          </xdr:spPr>
        </xdr:pic>
        <xdr:clientData/>
      </xdr:twoCellAnchor>
    </mc:Choice>
    <mc:Fallback/>
  </mc:AlternateContent>
  <xdr:twoCellAnchor editAs="absolute">
    <xdr:from>
      <xdr:col>3</xdr:col>
      <xdr:colOff>489009</xdr:colOff>
      <xdr:row>31</xdr:row>
      <xdr:rowOff>0</xdr:rowOff>
    </xdr:from>
    <xdr:to>
      <xdr:col>5</xdr:col>
      <xdr:colOff>540825</xdr:colOff>
      <xdr:row>37</xdr:row>
      <xdr:rowOff>128588</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70810</xdr:colOff>
          <xdr:row>28</xdr:row>
          <xdr:rowOff>0</xdr:rowOff>
        </xdr:from>
        <xdr:to>
          <xdr:col>8</xdr:col>
          <xdr:colOff>4135</xdr:colOff>
          <xdr:row>30</xdr:row>
          <xdr:rowOff>9525</xdr:rowOff>
        </xdr:to>
        <xdr:pic>
          <xdr:nvPicPr>
            <xdr:cNvPr id="66" name="Picture 65"/>
            <xdr:cNvPicPr>
              <a:picLocks noChangeAspect="1" noChangeArrowheads="1"/>
              <a:extLst>
                <a:ext uri="{84589F7E-364E-4C9E-8A38-B11213B215E9}">
                  <a14:cameraTool cellRange="Details!$S$170:$T$171" spid="_x0000_s17270"/>
                </a:ext>
              </a:extLst>
            </xdr:cNvPicPr>
          </xdr:nvPicPr>
          <xdr:blipFill>
            <a:blip xmlns:r="http://schemas.openxmlformats.org/officeDocument/2006/relationships" r:embed="rId7"/>
            <a:srcRect/>
            <a:stretch>
              <a:fillRect/>
            </a:stretch>
          </xdr:blipFill>
          <xdr:spPr bwMode="auto">
            <a:xfrm>
              <a:off x="4338010" y="5334000"/>
              <a:ext cx="542925" cy="390525"/>
            </a:xfrm>
            <a:prstGeom prst="rect">
              <a:avLst/>
            </a:prstGeom>
            <a:noFill/>
            <a:ln w="9525">
              <a:noFill/>
              <a:miter lim="800000"/>
              <a:headEnd/>
              <a:tailEnd/>
            </a:ln>
          </xdr:spPr>
        </xdr:pic>
        <xdr:clientData/>
      </xdr:twoCellAnchor>
    </mc:Choice>
    <mc:Fallback/>
  </mc:AlternateContent>
  <xdr:twoCellAnchor editAs="absolute">
    <xdr:from>
      <xdr:col>6</xdr:col>
      <xdr:colOff>316364</xdr:colOff>
      <xdr:row>31</xdr:row>
      <xdr:rowOff>0</xdr:rowOff>
    </xdr:from>
    <xdr:to>
      <xdr:col>8</xdr:col>
      <xdr:colOff>368180</xdr:colOff>
      <xdr:row>37</xdr:row>
      <xdr:rowOff>128588</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14</xdr:col>
      <xdr:colOff>600075</xdr:colOff>
      <xdr:row>8</xdr:row>
      <xdr:rowOff>161925</xdr:rowOff>
    </xdr:from>
    <xdr:to>
      <xdr:col>21</xdr:col>
      <xdr:colOff>219075</xdr:colOff>
      <xdr:row>19</xdr:row>
      <xdr:rowOff>160401</xdr:rowOff>
    </xdr:to>
    <xdr:graphicFrame macro="">
      <xdr:nvGraphicFramePr>
        <xdr:cNvPr id="68" name="Chart 6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absolute">
    <xdr:from>
      <xdr:col>15</xdr:col>
      <xdr:colOff>123825</xdr:colOff>
      <xdr:row>25</xdr:row>
      <xdr:rowOff>133350</xdr:rowOff>
    </xdr:from>
    <xdr:to>
      <xdr:col>21</xdr:col>
      <xdr:colOff>114300</xdr:colOff>
      <xdr:row>42</xdr:row>
      <xdr:rowOff>133349</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17</xdr:col>
      <xdr:colOff>161925</xdr:colOff>
      <xdr:row>33</xdr:row>
      <xdr:rowOff>76199</xdr:rowOff>
    </xdr:from>
    <xdr:to>
      <xdr:col>19</xdr:col>
      <xdr:colOff>76200</xdr:colOff>
      <xdr:row>36</xdr:row>
      <xdr:rowOff>161925</xdr:rowOff>
    </xdr:to>
    <xdr:sp macro="" textlink="'Chart Data '!O24">
      <xdr:nvSpPr>
        <xdr:cNvPr id="71" name="Rectangle 70"/>
        <xdr:cNvSpPr/>
      </xdr:nvSpPr>
      <xdr:spPr>
        <a:xfrm>
          <a:off x="10525125" y="6362699"/>
          <a:ext cx="1133475" cy="657226"/>
        </a:xfrm>
        <a:prstGeom prst="rect">
          <a:avLst/>
        </a:prstGeom>
        <a:solidFill>
          <a:srgbClr val="423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F0B7E0B-4102-4661-9C4A-71F14A97B960}" type="TxLink">
            <a:rPr lang="en-US" sz="3200" b="0" i="0" u="none" strike="noStrike">
              <a:solidFill>
                <a:schemeClr val="bg1"/>
              </a:solidFill>
              <a:latin typeface="Helvetica" panose="020B0604020202030204" pitchFamily="34" charset="0"/>
              <a:cs typeface="Calibri"/>
            </a:rPr>
            <a:pPr algn="ctr"/>
            <a:t>1</a:t>
          </a:fld>
          <a:endParaRPr lang="en-US" sz="16600">
            <a:solidFill>
              <a:schemeClr val="bg1"/>
            </a:solidFill>
            <a:latin typeface="Helvetica" panose="020B0604020202030204" pitchFamily="34" charset="0"/>
          </a:endParaRPr>
        </a:p>
      </xdr:txBody>
    </xdr:sp>
    <xdr:clientData/>
  </xdr:twoCellAnchor>
  <xdr:twoCellAnchor>
    <xdr:from>
      <xdr:col>7</xdr:col>
      <xdr:colOff>95250</xdr:colOff>
      <xdr:row>10</xdr:row>
      <xdr:rowOff>123825</xdr:rowOff>
    </xdr:from>
    <xdr:to>
      <xdr:col>7</xdr:col>
      <xdr:colOff>600075</xdr:colOff>
      <xdr:row>13</xdr:row>
      <xdr:rowOff>28575</xdr:rowOff>
    </xdr:to>
    <xdr:sp macro="" textlink="Details!E52">
      <xdr:nvSpPr>
        <xdr:cNvPr id="16" name="TextBox 15"/>
        <xdr:cNvSpPr txBox="1"/>
      </xdr:nvSpPr>
      <xdr:spPr>
        <a:xfrm>
          <a:off x="4362450" y="2028825"/>
          <a:ext cx="5048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7F70C6-23E8-4468-B5A5-77FE24F0BAAC}" type="TxLink">
            <a:rPr lang="en-US" sz="1400" b="1" i="0" u="none" strike="noStrike">
              <a:solidFill>
                <a:schemeClr val="bg1"/>
              </a:solidFill>
              <a:latin typeface="Adobe Caslon Pro" panose="0205050205050A020403" pitchFamily="18" charset="0"/>
              <a:cs typeface="Calibri"/>
            </a:rPr>
            <a:pPr algn="ctr"/>
            <a:t>0%</a:t>
          </a:fld>
          <a:endParaRPr lang="en-US" sz="1400" b="1">
            <a:solidFill>
              <a:schemeClr val="bg1"/>
            </a:solidFill>
            <a:latin typeface="Adobe Caslon Pro" panose="0205050205050A0204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57150</xdr:colOff>
      <xdr:row>0</xdr:row>
      <xdr:rowOff>76200</xdr:rowOff>
    </xdr:from>
    <xdr:to>
      <xdr:col>11</xdr:col>
      <xdr:colOff>171450</xdr:colOff>
      <xdr:row>1</xdr:row>
      <xdr:rowOff>142875</xdr:rowOff>
    </xdr:to>
    <xdr:sp macro="[0]!auto_filter" textlink="">
      <xdr:nvSpPr>
        <xdr:cNvPr id="2" name="Rectangle 1"/>
        <xdr:cNvSpPr/>
      </xdr:nvSpPr>
      <xdr:spPr>
        <a:xfrm>
          <a:off x="4962525" y="76200"/>
          <a:ext cx="142875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lọc</a:t>
          </a:r>
          <a:r>
            <a:rPr lang="en-US" sz="1100" baseline="0"/>
            <a:t> theo phong-khoa</a:t>
          </a:r>
          <a:endParaRPr lang="en-US" sz="1100"/>
        </a:p>
      </xdr:txBody>
    </xdr:sp>
    <xdr:clientData/>
  </xdr:twoCellAnchor>
  <xdr:twoCellAnchor>
    <xdr:from>
      <xdr:col>12</xdr:col>
      <xdr:colOff>9525</xdr:colOff>
      <xdr:row>0</xdr:row>
      <xdr:rowOff>85725</xdr:rowOff>
    </xdr:from>
    <xdr:to>
      <xdr:col>17</xdr:col>
      <xdr:colOff>0</xdr:colOff>
      <xdr:row>1</xdr:row>
      <xdr:rowOff>104775</xdr:rowOff>
    </xdr:to>
    <xdr:sp macro="[0]!reset_filter" textlink="">
      <xdr:nvSpPr>
        <xdr:cNvPr id="3" name="Oval 2"/>
        <xdr:cNvSpPr/>
      </xdr:nvSpPr>
      <xdr:spPr>
        <a:xfrm>
          <a:off x="6448425" y="85725"/>
          <a:ext cx="1085850" cy="2095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85724</xdr:colOff>
      <xdr:row>2</xdr:row>
      <xdr:rowOff>104775</xdr:rowOff>
    </xdr:from>
    <xdr:to>
      <xdr:col>12</xdr:col>
      <xdr:colOff>600075</xdr:colOff>
      <xdr:row>14</xdr:row>
      <xdr:rowOff>114300</xdr:rowOff>
    </xdr:to>
    <xdr:sp macro="" textlink="">
      <xdr:nvSpPr>
        <xdr:cNvPr id="7" name="Round Same Side Corner Rectangle 6"/>
        <xdr:cNvSpPr/>
      </xdr:nvSpPr>
      <xdr:spPr>
        <a:xfrm>
          <a:off x="9677399" y="485775"/>
          <a:ext cx="514351" cy="2295525"/>
        </a:xfrm>
        <a:prstGeom prst="round2SameRect">
          <a:avLst>
            <a:gd name="adj1" fmla="val 50000"/>
            <a:gd name="adj2" fmla="val 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9525</xdr:colOff>
      <xdr:row>20</xdr:row>
      <xdr:rowOff>9525</xdr:rowOff>
    </xdr:from>
    <xdr:to>
      <xdr:col>10</xdr:col>
      <xdr:colOff>857250</xdr:colOff>
      <xdr:row>20</xdr:row>
      <xdr:rowOff>247650</xdr:rowOff>
    </xdr:to>
    <xdr:sp macro="[0]!Recalc" textlink="">
      <xdr:nvSpPr>
        <xdr:cNvPr id="3" name="Rectangle 2"/>
        <xdr:cNvSpPr/>
      </xdr:nvSpPr>
      <xdr:spPr>
        <a:xfrm>
          <a:off x="14754225" y="3819525"/>
          <a:ext cx="847725" cy="238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start</a:t>
          </a:r>
        </a:p>
      </xdr:txBody>
    </xdr:sp>
    <xdr:clientData/>
  </xdr:twoCellAnchor>
  <xdr:twoCellAnchor>
    <xdr:from>
      <xdr:col>10</xdr:col>
      <xdr:colOff>9525</xdr:colOff>
      <xdr:row>21</xdr:row>
      <xdr:rowOff>19050</xdr:rowOff>
    </xdr:from>
    <xdr:to>
      <xdr:col>10</xdr:col>
      <xdr:colOff>857250</xdr:colOff>
      <xdr:row>22</xdr:row>
      <xdr:rowOff>66675</xdr:rowOff>
    </xdr:to>
    <xdr:sp macro="[0]!Disable" textlink="">
      <xdr:nvSpPr>
        <xdr:cNvPr id="4" name="Rectangle 3"/>
        <xdr:cNvSpPr/>
      </xdr:nvSpPr>
      <xdr:spPr>
        <a:xfrm>
          <a:off x="14754225" y="4086225"/>
          <a:ext cx="847725" cy="2381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stop</a:t>
          </a:r>
        </a:p>
      </xdr:txBody>
    </xdr:sp>
    <xdr:clientData/>
  </xdr:twoCellAnchor>
  <xdr:twoCellAnchor>
    <xdr:from>
      <xdr:col>10</xdr:col>
      <xdr:colOff>390525</xdr:colOff>
      <xdr:row>50</xdr:row>
      <xdr:rowOff>85725</xdr:rowOff>
    </xdr:from>
    <xdr:to>
      <xdr:col>14</xdr:col>
      <xdr:colOff>208026</xdr:colOff>
      <xdr:row>65</xdr:row>
      <xdr:rowOff>136017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nh Nguyen" refreshedDate="44070.578557754627" createdVersion="6" refreshedVersion="6" minRefreshableVersion="3" recordCount="110">
  <cacheSource type="worksheet">
    <worksheetSource ref="A126:P236" sheet="Att table"/>
  </cacheSource>
  <cacheFields count="16">
    <cacheField name="STT" numFmtId="1">
      <sharedItems containsSemiMixedTypes="0" containsString="0" containsNumber="1" containsInteger="1" minValue="1" maxValue="111"/>
    </cacheField>
    <cacheField name="Mã phòng ban" numFmtId="0">
      <sharedItems count="14">
        <s v="BGD"/>
        <s v="TCHC"/>
        <s v="NO"/>
        <s v="CDHA"/>
        <s v="DD"/>
        <s v="TCKT"/>
        <s v="KHTH"/>
        <s v="DU"/>
        <s v="YHCT"/>
        <s v="SA"/>
        <s v="XN"/>
        <s v="NG"/>
        <s v="RHM"/>
        <s v="YHDP"/>
      </sharedItems>
    </cacheField>
    <cacheField name="MÃ_x000a_ NV" numFmtId="1">
      <sharedItems containsSemiMixedTypes="0" containsString="0" containsNumber="1" containsInteger="1" minValue="1" maxValue="111"/>
    </cacheField>
    <cacheField name="HỌ TÊN" numFmtId="0">
      <sharedItems/>
    </cacheField>
    <cacheField name="Tháng 1" numFmtId="170">
      <sharedItems containsSemiMixedTypes="0" containsString="0" containsNumber="1" minValue="0" maxValue="56"/>
    </cacheField>
    <cacheField name="Tháng 2" numFmtId="170">
      <sharedItems containsSemiMixedTypes="0" containsString="0" containsNumber="1" minValue="0" maxValue="20"/>
    </cacheField>
    <cacheField name="Tháng 3" numFmtId="170">
      <sharedItems containsSemiMixedTypes="0" containsString="0" containsNumber="1" minValue="0" maxValue="22"/>
    </cacheField>
    <cacheField name="Tháng 4" numFmtId="170">
      <sharedItems containsSemiMixedTypes="0" containsString="0" containsNumber="1" minValue="0" maxValue="16.5"/>
    </cacheField>
    <cacheField name="Tháng 5" numFmtId="170">
      <sharedItems containsSemiMixedTypes="0" containsString="0" containsNumber="1" minValue="0" maxValue="20"/>
    </cacheField>
    <cacheField name="Tháng 6" numFmtId="170">
      <sharedItems containsSemiMixedTypes="0" containsString="0" containsNumber="1" minValue="0" maxValue="22"/>
    </cacheField>
    <cacheField name="Tháng 7" numFmtId="170">
      <sharedItems containsSemiMixedTypes="0" containsString="0" containsNumber="1" minValue="0" maxValue="23"/>
    </cacheField>
    <cacheField name="Tháng 8" numFmtId="170">
      <sharedItems containsNonDate="0" containsString="0" containsBlank="1"/>
    </cacheField>
    <cacheField name="Tháng 9" numFmtId="170">
      <sharedItems containsNonDate="0" containsString="0" containsBlank="1"/>
    </cacheField>
    <cacheField name="Tháng 10" numFmtId="170">
      <sharedItems containsNonDate="0" containsString="0" containsBlank="1"/>
    </cacheField>
    <cacheField name="Tháng 11" numFmtId="170">
      <sharedItems containsNonDate="0" containsString="0" containsBlank="1"/>
    </cacheField>
    <cacheField name="Tháng 12" numFmtId="17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0">
  <r>
    <n v="1"/>
    <x v="0"/>
    <n v="1"/>
    <s v="Nguyễn Ba"/>
    <n v="0"/>
    <n v="0"/>
    <n v="0"/>
    <n v="0"/>
    <n v="0"/>
    <n v="0"/>
    <n v="0"/>
    <m/>
    <m/>
    <m/>
    <m/>
    <m/>
  </r>
  <r>
    <n v="2"/>
    <x v="0"/>
    <n v="2"/>
    <s v="Huỳnh Văn Sơn"/>
    <n v="0"/>
    <n v="0"/>
    <n v="0"/>
    <n v="0"/>
    <n v="0"/>
    <n v="0"/>
    <n v="0"/>
    <m/>
    <m/>
    <m/>
    <m/>
    <m/>
  </r>
  <r>
    <n v="3"/>
    <x v="0"/>
    <n v="3"/>
    <s v="Huỳnh Tấn Tuấn"/>
    <n v="0"/>
    <n v="0"/>
    <n v="0"/>
    <n v="0"/>
    <n v="0"/>
    <n v="1.5"/>
    <n v="0.5"/>
    <m/>
    <m/>
    <m/>
    <m/>
    <m/>
  </r>
  <r>
    <n v="4"/>
    <x v="0"/>
    <n v="4"/>
    <s v="Trương Đức Minh"/>
    <n v="0"/>
    <n v="0"/>
    <n v="0"/>
    <n v="0"/>
    <n v="0"/>
    <n v="0"/>
    <n v="0"/>
    <m/>
    <m/>
    <m/>
    <m/>
    <m/>
  </r>
  <r>
    <n v="5"/>
    <x v="1"/>
    <n v="5"/>
    <s v="Bùi  Long Ẩn"/>
    <n v="0"/>
    <n v="0"/>
    <n v="0"/>
    <n v="0"/>
    <n v="0"/>
    <n v="0"/>
    <n v="0"/>
    <m/>
    <m/>
    <m/>
    <m/>
    <m/>
  </r>
  <r>
    <n v="6"/>
    <x v="2"/>
    <n v="6"/>
    <s v="Lê Công Đoàn"/>
    <n v="25.5"/>
    <n v="10"/>
    <n v="0"/>
    <n v="0"/>
    <n v="0"/>
    <n v="12.5"/>
    <n v="15"/>
    <m/>
    <m/>
    <m/>
    <m/>
    <m/>
  </r>
  <r>
    <n v="7"/>
    <x v="3"/>
    <n v="7"/>
    <s v="Võ Thị Kim Anh"/>
    <n v="0"/>
    <n v="0"/>
    <n v="0"/>
    <n v="0"/>
    <n v="0"/>
    <n v="0"/>
    <n v="0"/>
    <m/>
    <m/>
    <m/>
    <m/>
    <m/>
  </r>
  <r>
    <n v="8"/>
    <x v="4"/>
    <n v="8"/>
    <s v="Nguyễn Thị Vũ Linh"/>
    <n v="1"/>
    <n v="0"/>
    <n v="0"/>
    <n v="0"/>
    <n v="0"/>
    <n v="1"/>
    <n v="3"/>
    <m/>
    <m/>
    <m/>
    <m/>
    <m/>
  </r>
  <r>
    <n v="9"/>
    <x v="1"/>
    <n v="9"/>
    <s v="Lê Thị Hằng"/>
    <n v="0"/>
    <n v="0"/>
    <n v="0"/>
    <n v="0"/>
    <n v="0"/>
    <n v="8.5"/>
    <n v="21.5"/>
    <m/>
    <m/>
    <m/>
    <m/>
    <m/>
  </r>
  <r>
    <n v="10"/>
    <x v="5"/>
    <n v="10"/>
    <s v="Nguyễn Thị Bé Hiệp"/>
    <n v="0"/>
    <n v="0"/>
    <n v="0"/>
    <n v="0"/>
    <n v="0"/>
    <n v="0"/>
    <n v="2.5"/>
    <m/>
    <m/>
    <m/>
    <m/>
    <m/>
  </r>
  <r>
    <n v="11"/>
    <x v="5"/>
    <n v="11"/>
    <s v="Nguyễn Phạm An Na"/>
    <n v="43"/>
    <n v="19.5"/>
    <n v="11.5"/>
    <n v="0"/>
    <n v="0.5"/>
    <n v="4.5"/>
    <n v="14.5"/>
    <m/>
    <m/>
    <m/>
    <m/>
    <m/>
  </r>
  <r>
    <n v="12"/>
    <x v="6"/>
    <n v="12"/>
    <s v="Bùi Thị Thanh Tuyết"/>
    <n v="56"/>
    <n v="19"/>
    <n v="22"/>
    <n v="13.5"/>
    <n v="16.5"/>
    <n v="19"/>
    <n v="23"/>
    <m/>
    <m/>
    <m/>
    <m/>
    <m/>
  </r>
  <r>
    <n v="13"/>
    <x v="7"/>
    <n v="13"/>
    <s v="Nguyễn Thị Ái Liên"/>
    <n v="0"/>
    <n v="0"/>
    <n v="0"/>
    <n v="0"/>
    <n v="0"/>
    <n v="10.5"/>
    <n v="1"/>
    <m/>
    <m/>
    <m/>
    <m/>
    <m/>
  </r>
  <r>
    <n v="14"/>
    <x v="6"/>
    <n v="14"/>
    <s v="Lê Thị Diệu Linh"/>
    <n v="11.5"/>
    <n v="2.5"/>
    <n v="0"/>
    <n v="0"/>
    <n v="0"/>
    <n v="0"/>
    <n v="0"/>
    <m/>
    <m/>
    <m/>
    <m/>
    <m/>
  </r>
  <r>
    <n v="15"/>
    <x v="1"/>
    <n v="15"/>
    <s v="Bùi Thị Minh Phượng"/>
    <n v="0"/>
    <n v="0"/>
    <n v="0"/>
    <n v="0"/>
    <n v="0"/>
    <n v="0"/>
    <n v="0"/>
    <m/>
    <m/>
    <m/>
    <m/>
    <m/>
  </r>
  <r>
    <n v="16"/>
    <x v="1"/>
    <n v="16"/>
    <s v="Đoàn Thị Nhung"/>
    <n v="0"/>
    <n v="0"/>
    <n v="0"/>
    <n v="0"/>
    <n v="0"/>
    <n v="0"/>
    <n v="0"/>
    <m/>
    <m/>
    <m/>
    <m/>
    <m/>
  </r>
  <r>
    <n v="17"/>
    <x v="8"/>
    <n v="17"/>
    <s v="Châu Thị Ngọc Huyền"/>
    <n v="41"/>
    <n v="17"/>
    <n v="14.5"/>
    <n v="0"/>
    <n v="0"/>
    <n v="11.5"/>
    <n v="16"/>
    <m/>
    <m/>
    <m/>
    <m/>
    <m/>
  </r>
  <r>
    <n v="18"/>
    <x v="9"/>
    <n v="18"/>
    <s v="Nguyễn Thị Hồng Nguyệt"/>
    <n v="0"/>
    <n v="0"/>
    <n v="0"/>
    <n v="0"/>
    <n v="0"/>
    <n v="0"/>
    <n v="0"/>
    <m/>
    <m/>
    <m/>
    <m/>
    <m/>
  </r>
  <r>
    <n v="19"/>
    <x v="2"/>
    <n v="19"/>
    <s v="Nguyễn Thanh Hậu"/>
    <n v="46.5"/>
    <n v="18.5"/>
    <n v="14.5"/>
    <n v="0"/>
    <n v="0"/>
    <n v="8"/>
    <n v="15.5"/>
    <m/>
    <m/>
    <m/>
    <m/>
    <m/>
  </r>
  <r>
    <n v="20"/>
    <x v="10"/>
    <n v="20"/>
    <s v="Nguyễn Thị Như Phượng"/>
    <n v="8.5"/>
    <n v="4"/>
    <n v="1.5"/>
    <n v="0"/>
    <n v="0"/>
    <n v="2"/>
    <n v="1.5"/>
    <m/>
    <m/>
    <m/>
    <m/>
    <m/>
  </r>
  <r>
    <n v="21"/>
    <x v="11"/>
    <n v="21"/>
    <s v="Lê Nguyễn Kim Uyên"/>
    <n v="49"/>
    <n v="19.5"/>
    <n v="18.5"/>
    <n v="2"/>
    <n v="3.5"/>
    <n v="12"/>
    <n v="19"/>
    <m/>
    <m/>
    <m/>
    <m/>
    <m/>
  </r>
  <r>
    <n v="22"/>
    <x v="9"/>
    <n v="22"/>
    <s v="Đỗ Thị Ngọc Trinh"/>
    <n v="17.5"/>
    <n v="5.5"/>
    <n v="12"/>
    <n v="0"/>
    <n v="0"/>
    <n v="0"/>
    <n v="0"/>
    <m/>
    <m/>
    <m/>
    <m/>
    <m/>
  </r>
  <r>
    <n v="23"/>
    <x v="9"/>
    <n v="23"/>
    <s v="Lê Thị Thanh Vân"/>
    <n v="0"/>
    <n v="0"/>
    <n v="0"/>
    <n v="0"/>
    <n v="0"/>
    <n v="0"/>
    <n v="0"/>
    <m/>
    <m/>
    <m/>
    <m/>
    <m/>
  </r>
  <r>
    <n v="24"/>
    <x v="4"/>
    <n v="24"/>
    <s v="Trần Thị Diễm Phúc"/>
    <n v="23"/>
    <n v="4.5"/>
    <n v="10.5"/>
    <n v="0"/>
    <n v="0"/>
    <n v="3.5"/>
    <n v="10"/>
    <m/>
    <m/>
    <m/>
    <m/>
    <m/>
  </r>
  <r>
    <n v="25"/>
    <x v="11"/>
    <n v="25"/>
    <s v="Nguyễn Trọng Hùng"/>
    <n v="0"/>
    <n v="0"/>
    <n v="0"/>
    <n v="0"/>
    <n v="0"/>
    <n v="0"/>
    <n v="0"/>
    <m/>
    <m/>
    <m/>
    <m/>
    <m/>
  </r>
  <r>
    <n v="26"/>
    <x v="12"/>
    <n v="26"/>
    <s v="Bùi Thị Kim Tiến"/>
    <n v="0.5"/>
    <n v="0.5"/>
    <n v="0"/>
    <n v="0"/>
    <n v="0"/>
    <n v="0"/>
    <n v="0"/>
    <m/>
    <m/>
    <m/>
    <m/>
    <m/>
  </r>
  <r>
    <n v="27"/>
    <x v="12"/>
    <n v="27"/>
    <s v="Hồ Thị Thu Thủy"/>
    <n v="53.5"/>
    <n v="18"/>
    <n v="19"/>
    <n v="16.5"/>
    <n v="20"/>
    <n v="20.5"/>
    <n v="17.5"/>
    <m/>
    <m/>
    <m/>
    <m/>
    <m/>
  </r>
  <r>
    <n v="28"/>
    <x v="12"/>
    <n v="28"/>
    <s v="Tăng Văn Vĩnh"/>
    <n v="0"/>
    <n v="0"/>
    <n v="0"/>
    <n v="0"/>
    <n v="0"/>
    <n v="0"/>
    <n v="0"/>
    <m/>
    <m/>
    <m/>
    <m/>
    <m/>
  </r>
  <r>
    <n v="29"/>
    <x v="12"/>
    <n v="29"/>
    <s v="Trần Thị Hà My"/>
    <n v="21.5"/>
    <n v="8.5"/>
    <n v="7"/>
    <n v="0"/>
    <n v="0"/>
    <n v="5.5"/>
    <n v="11"/>
    <m/>
    <m/>
    <m/>
    <m/>
    <m/>
  </r>
  <r>
    <n v="30"/>
    <x v="5"/>
    <n v="30"/>
    <s v="Trần Thị Kiều Duyên"/>
    <n v="1.5"/>
    <n v="0"/>
    <n v="0"/>
    <n v="0"/>
    <n v="0"/>
    <n v="8.5"/>
    <n v="13.5"/>
    <m/>
    <m/>
    <m/>
    <m/>
    <m/>
  </r>
  <r>
    <n v="31"/>
    <x v="4"/>
    <n v="31"/>
    <s v="Doãn Thị Băng Thạnh"/>
    <n v="1"/>
    <n v="0"/>
    <n v="0"/>
    <n v="0"/>
    <n v="0"/>
    <n v="5"/>
    <n v="8"/>
    <m/>
    <m/>
    <m/>
    <m/>
    <m/>
  </r>
  <r>
    <n v="32"/>
    <x v="8"/>
    <n v="32"/>
    <s v="Dương Tấn Thọ"/>
    <n v="0"/>
    <n v="0"/>
    <n v="0"/>
    <n v="0"/>
    <n v="0"/>
    <n v="0"/>
    <n v="0"/>
    <m/>
    <m/>
    <m/>
    <m/>
    <m/>
  </r>
  <r>
    <n v="33"/>
    <x v="8"/>
    <n v="33"/>
    <s v="Đoàn Phước Hồng"/>
    <n v="25.5"/>
    <n v="13"/>
    <n v="4.5"/>
    <n v="0"/>
    <n v="0"/>
    <n v="8.5"/>
    <n v="9.5"/>
    <m/>
    <m/>
    <m/>
    <m/>
    <m/>
  </r>
  <r>
    <n v="34"/>
    <x v="8"/>
    <n v="34"/>
    <s v="Phạm Bửu Phước"/>
    <n v="31.5"/>
    <n v="8.5"/>
    <n v="15"/>
    <n v="0"/>
    <n v="0"/>
    <n v="8.5"/>
    <n v="16.5"/>
    <m/>
    <m/>
    <m/>
    <m/>
    <m/>
  </r>
  <r>
    <n v="35"/>
    <x v="13"/>
    <n v="35"/>
    <s v="Nguyễn Đức Gia Huy"/>
    <n v="0"/>
    <n v="0"/>
    <n v="0"/>
    <n v="0"/>
    <n v="0"/>
    <n v="0"/>
    <n v="0"/>
    <m/>
    <m/>
    <m/>
    <m/>
    <m/>
  </r>
  <r>
    <n v="36"/>
    <x v="13"/>
    <n v="36"/>
    <s v="Trần Thị Thanh Thu"/>
    <n v="0"/>
    <n v="0"/>
    <n v="0"/>
    <n v="0"/>
    <n v="0"/>
    <n v="0"/>
    <n v="0"/>
    <m/>
    <m/>
    <m/>
    <m/>
    <m/>
  </r>
  <r>
    <n v="37"/>
    <x v="8"/>
    <n v="37"/>
    <s v="Đoàn Thị Thu Hiền"/>
    <n v="12"/>
    <n v="4.5"/>
    <n v="3"/>
    <n v="0"/>
    <n v="0"/>
    <n v="8"/>
    <n v="6"/>
    <m/>
    <m/>
    <m/>
    <m/>
    <m/>
  </r>
  <r>
    <n v="38"/>
    <x v="11"/>
    <n v="38"/>
    <s v="Đinh Lý"/>
    <n v="0"/>
    <n v="0"/>
    <n v="0"/>
    <n v="0"/>
    <n v="0"/>
    <n v="0"/>
    <n v="0"/>
    <m/>
    <m/>
    <m/>
    <m/>
    <m/>
  </r>
  <r>
    <n v="39"/>
    <x v="12"/>
    <n v="39"/>
    <s v="Võ Thế Hùng"/>
    <n v="0"/>
    <n v="0"/>
    <n v="0"/>
    <n v="0"/>
    <n v="0"/>
    <n v="0"/>
    <n v="0"/>
    <m/>
    <m/>
    <m/>
    <m/>
    <m/>
  </r>
  <r>
    <n v="40"/>
    <x v="13"/>
    <n v="40"/>
    <s v="Huỳnh Thị Diệu Hiền"/>
    <n v="8"/>
    <n v="1.5"/>
    <n v="6.5"/>
    <n v="0"/>
    <n v="0"/>
    <n v="3"/>
    <n v="0"/>
    <m/>
    <m/>
    <m/>
    <m/>
    <m/>
  </r>
  <r>
    <n v="41"/>
    <x v="11"/>
    <n v="41"/>
    <s v="Nguyễn Công Dưỡng"/>
    <n v="0.5"/>
    <n v="0"/>
    <n v="0.5"/>
    <n v="0"/>
    <n v="0"/>
    <n v="0"/>
    <n v="0"/>
    <m/>
    <m/>
    <m/>
    <m/>
    <m/>
  </r>
  <r>
    <n v="42"/>
    <x v="11"/>
    <n v="42"/>
    <s v="Lê Thị Lành"/>
    <n v="36"/>
    <n v="13"/>
    <n v="14.5"/>
    <n v="0"/>
    <n v="0"/>
    <n v="10.5"/>
    <n v="8"/>
    <m/>
    <m/>
    <m/>
    <m/>
    <m/>
  </r>
  <r>
    <n v="43"/>
    <x v="2"/>
    <n v="43"/>
    <s v="Nguyễn Thị Thủy"/>
    <n v="0"/>
    <n v="0"/>
    <n v="0"/>
    <n v="0"/>
    <n v="0"/>
    <n v="0"/>
    <n v="0"/>
    <m/>
    <m/>
    <m/>
    <m/>
    <m/>
  </r>
  <r>
    <n v="44"/>
    <x v="2"/>
    <n v="44"/>
    <s v="Võ Thị Hồng Hạnh"/>
    <n v="0"/>
    <n v="0"/>
    <n v="0"/>
    <n v="0"/>
    <n v="0"/>
    <n v="0"/>
    <n v="0"/>
    <m/>
    <m/>
    <m/>
    <m/>
    <m/>
  </r>
  <r>
    <n v="45"/>
    <x v="2"/>
    <n v="45"/>
    <s v="Trần Thị Thân"/>
    <n v="0.5"/>
    <n v="0"/>
    <n v="0"/>
    <n v="0"/>
    <n v="0"/>
    <n v="0"/>
    <n v="0"/>
    <m/>
    <m/>
    <m/>
    <m/>
    <m/>
  </r>
  <r>
    <n v="46"/>
    <x v="2"/>
    <n v="46"/>
    <s v="Nguyễn Thị Hồng Trang"/>
    <n v="0"/>
    <n v="0"/>
    <n v="0"/>
    <n v="0"/>
    <n v="0"/>
    <n v="0"/>
    <n v="0"/>
    <m/>
    <m/>
    <m/>
    <m/>
    <m/>
  </r>
  <r>
    <n v="47"/>
    <x v="2"/>
    <n v="47"/>
    <s v="Nguyễn Ngọc Thủy Tiên"/>
    <n v="0"/>
    <n v="0"/>
    <n v="0"/>
    <n v="0"/>
    <n v="0"/>
    <n v="0"/>
    <n v="0"/>
    <m/>
    <m/>
    <m/>
    <m/>
    <m/>
  </r>
  <r>
    <n v="48"/>
    <x v="4"/>
    <n v="48"/>
    <s v="Nguyễn Trung Nam"/>
    <n v="0"/>
    <n v="0"/>
    <n v="0"/>
    <n v="0"/>
    <n v="0"/>
    <n v="0"/>
    <n v="0"/>
    <m/>
    <m/>
    <m/>
    <m/>
    <m/>
  </r>
  <r>
    <n v="49"/>
    <x v="4"/>
    <n v="49"/>
    <s v="Bùi Thị Hiền"/>
    <n v="0"/>
    <n v="0"/>
    <n v="0"/>
    <n v="1"/>
    <n v="0"/>
    <n v="0"/>
    <n v="0"/>
    <m/>
    <m/>
    <m/>
    <m/>
    <m/>
  </r>
  <r>
    <n v="50"/>
    <x v="4"/>
    <n v="50"/>
    <s v="Võ Trung Nở"/>
    <n v="1"/>
    <n v="0"/>
    <n v="1"/>
    <n v="0"/>
    <n v="0"/>
    <n v="0"/>
    <n v="0"/>
    <m/>
    <m/>
    <m/>
    <m/>
    <m/>
  </r>
  <r>
    <n v="51"/>
    <x v="4"/>
    <n v="51"/>
    <s v="Phan Thị Quỳnh Giao"/>
    <n v="4.5"/>
    <n v="2.5"/>
    <n v="1.5"/>
    <n v="0"/>
    <n v="0"/>
    <n v="0"/>
    <n v="0"/>
    <m/>
    <m/>
    <m/>
    <m/>
    <m/>
  </r>
  <r>
    <n v="52"/>
    <x v="4"/>
    <n v="52"/>
    <s v="Võ Thị Thu Hiền"/>
    <n v="0"/>
    <n v="0"/>
    <n v="0"/>
    <n v="0"/>
    <n v="0"/>
    <n v="0"/>
    <n v="0"/>
    <m/>
    <m/>
    <m/>
    <m/>
    <m/>
  </r>
  <r>
    <n v="53"/>
    <x v="4"/>
    <n v="53"/>
    <s v="Nguyễn Thị Trang Đài"/>
    <n v="0"/>
    <n v="0"/>
    <n v="0"/>
    <n v="0"/>
    <n v="0"/>
    <n v="0"/>
    <n v="0"/>
    <m/>
    <m/>
    <m/>
    <m/>
    <m/>
  </r>
  <r>
    <n v="54"/>
    <x v="4"/>
    <n v="54"/>
    <s v="Nguyễn Thị Định"/>
    <n v="0"/>
    <n v="0"/>
    <n v="0"/>
    <n v="0"/>
    <n v="0"/>
    <n v="0"/>
    <n v="0"/>
    <m/>
    <m/>
    <m/>
    <m/>
    <m/>
  </r>
  <r>
    <n v="55"/>
    <x v="4"/>
    <n v="55"/>
    <s v="Phan Thị Thúy Linh"/>
    <n v="0"/>
    <n v="0"/>
    <n v="0"/>
    <n v="0"/>
    <n v="0"/>
    <n v="0"/>
    <n v="0"/>
    <m/>
    <m/>
    <m/>
    <m/>
    <m/>
  </r>
  <r>
    <n v="56"/>
    <x v="3"/>
    <n v="56"/>
    <s v="Huỳnh Thị Thu Phương"/>
    <n v="0"/>
    <n v="0"/>
    <n v="0"/>
    <n v="0"/>
    <n v="0"/>
    <n v="0"/>
    <n v="0"/>
    <m/>
    <m/>
    <m/>
    <m/>
    <m/>
  </r>
  <r>
    <n v="57"/>
    <x v="4"/>
    <n v="57"/>
    <s v="Trương Hồ Hạ Yến"/>
    <n v="0"/>
    <n v="0"/>
    <n v="0"/>
    <n v="0"/>
    <n v="0"/>
    <n v="0"/>
    <n v="0"/>
    <m/>
    <m/>
    <m/>
    <m/>
    <m/>
  </r>
  <r>
    <n v="58"/>
    <x v="4"/>
    <n v="58"/>
    <s v="Đặng Thị Hòa"/>
    <n v="5"/>
    <n v="0"/>
    <n v="5"/>
    <n v="0.5"/>
    <n v="0.5"/>
    <n v="8"/>
    <n v="6"/>
    <m/>
    <m/>
    <m/>
    <m/>
    <m/>
  </r>
  <r>
    <n v="59"/>
    <x v="3"/>
    <n v="59"/>
    <s v="Huỳnh Văn Nghị"/>
    <n v="0"/>
    <n v="0"/>
    <n v="0"/>
    <n v="0"/>
    <n v="0"/>
    <n v="0"/>
    <n v="0"/>
    <m/>
    <m/>
    <m/>
    <m/>
    <m/>
  </r>
  <r>
    <n v="60"/>
    <x v="3"/>
    <n v="60"/>
    <s v="Nguyễn Xuân Nghĩa"/>
    <n v="25.5"/>
    <n v="10"/>
    <n v="8"/>
    <n v="0.5"/>
    <n v="0"/>
    <n v="6"/>
    <n v="2"/>
    <m/>
    <m/>
    <m/>
    <m/>
    <m/>
  </r>
  <r>
    <n v="61"/>
    <x v="3"/>
    <n v="61"/>
    <s v="Nguyễn Khánh Thịnh"/>
    <n v="6"/>
    <n v="1.5"/>
    <n v="0"/>
    <n v="0"/>
    <n v="0"/>
    <n v="4"/>
    <n v="2"/>
    <m/>
    <m/>
    <m/>
    <m/>
    <m/>
  </r>
  <r>
    <n v="62"/>
    <x v="4"/>
    <n v="62"/>
    <s v="Trần Thị Ánh Phượng"/>
    <n v="0"/>
    <n v="0"/>
    <n v="0"/>
    <n v="0"/>
    <n v="0"/>
    <n v="1"/>
    <n v="0"/>
    <m/>
    <m/>
    <m/>
    <m/>
    <m/>
  </r>
  <r>
    <n v="63"/>
    <x v="10"/>
    <n v="63"/>
    <s v="Hoàng Văn Tiến"/>
    <n v="0"/>
    <n v="0"/>
    <n v="0"/>
    <n v="0"/>
    <n v="0"/>
    <n v="0"/>
    <n v="0"/>
    <m/>
    <m/>
    <m/>
    <m/>
    <m/>
  </r>
  <r>
    <n v="64"/>
    <x v="10"/>
    <n v="64"/>
    <s v="Nguyễn Xuân Khanh"/>
    <n v="9"/>
    <n v="3"/>
    <n v="4"/>
    <n v="5.5"/>
    <n v="1.5"/>
    <n v="2"/>
    <n v="6"/>
    <m/>
    <m/>
    <m/>
    <m/>
    <m/>
  </r>
  <r>
    <n v="65"/>
    <x v="10"/>
    <n v="65"/>
    <s v="Lê Thị Vỹ Khuyên"/>
    <n v="14"/>
    <n v="5"/>
    <n v="0"/>
    <n v="0"/>
    <n v="0"/>
    <n v="8.5"/>
    <n v="14.5"/>
    <m/>
    <m/>
    <m/>
    <m/>
    <m/>
  </r>
  <r>
    <n v="66"/>
    <x v="10"/>
    <n v="66"/>
    <s v="Nguyễn Thị Lựu"/>
    <n v="0"/>
    <n v="0"/>
    <n v="0"/>
    <n v="0"/>
    <n v="0"/>
    <n v="0"/>
    <n v="0"/>
    <m/>
    <m/>
    <m/>
    <m/>
    <m/>
  </r>
  <r>
    <n v="67"/>
    <x v="10"/>
    <n v="67"/>
    <s v="Phan Thị Thu Lý"/>
    <n v="2.5"/>
    <n v="2"/>
    <n v="0"/>
    <n v="0"/>
    <n v="0"/>
    <n v="0"/>
    <n v="0"/>
    <m/>
    <m/>
    <m/>
    <m/>
    <m/>
  </r>
  <r>
    <n v="68"/>
    <x v="10"/>
    <n v="68"/>
    <s v="Nguyễn Thanh Quang"/>
    <n v="12.5"/>
    <n v="4"/>
    <n v="5"/>
    <n v="4"/>
    <n v="2"/>
    <n v="3"/>
    <n v="0.5"/>
    <m/>
    <m/>
    <m/>
    <m/>
    <m/>
  </r>
  <r>
    <n v="69"/>
    <x v="10"/>
    <n v="69"/>
    <s v="Phạm Thị Thùy Liên"/>
    <n v="0"/>
    <n v="0"/>
    <n v="0"/>
    <n v="0"/>
    <n v="0"/>
    <n v="0"/>
    <n v="0"/>
    <m/>
    <m/>
    <m/>
    <m/>
    <m/>
  </r>
  <r>
    <n v="70"/>
    <x v="4"/>
    <n v="70"/>
    <s v="Phan Thị Thu Thuỷ"/>
    <n v="0"/>
    <n v="0"/>
    <n v="0"/>
    <n v="0"/>
    <n v="0"/>
    <n v="0"/>
    <n v="1"/>
    <m/>
    <m/>
    <m/>
    <m/>
    <m/>
  </r>
  <r>
    <n v="71"/>
    <x v="8"/>
    <n v="71"/>
    <s v="Nguyễn Hữu Hoài Nam"/>
    <n v="30.5"/>
    <n v="9.5"/>
    <n v="13.5"/>
    <n v="0"/>
    <n v="0"/>
    <n v="11"/>
    <n v="18"/>
    <m/>
    <m/>
    <m/>
    <m/>
    <m/>
  </r>
  <r>
    <n v="72"/>
    <x v="7"/>
    <n v="72"/>
    <s v="Nguyễn Thị Phương"/>
    <n v="0"/>
    <n v="0"/>
    <n v="0"/>
    <n v="0"/>
    <n v="0"/>
    <n v="2"/>
    <n v="0"/>
    <m/>
    <m/>
    <m/>
    <m/>
    <m/>
  </r>
  <r>
    <n v="73"/>
    <x v="4"/>
    <n v="73"/>
    <s v="Trương Thị Kim Chi"/>
    <n v="29"/>
    <n v="15"/>
    <n v="0"/>
    <n v="0"/>
    <n v="0"/>
    <n v="0"/>
    <n v="0"/>
    <m/>
    <m/>
    <m/>
    <m/>
    <m/>
  </r>
  <r>
    <n v="74"/>
    <x v="10"/>
    <n v="74"/>
    <s v="Lê Văn Chiến"/>
    <n v="12.5"/>
    <n v="2.5"/>
    <n v="6"/>
    <n v="0"/>
    <n v="0"/>
    <n v="0"/>
    <n v="0"/>
    <m/>
    <m/>
    <m/>
    <m/>
    <m/>
  </r>
  <r>
    <n v="75"/>
    <x v="4"/>
    <n v="75"/>
    <s v="Lê Thị Thùy Diệu"/>
    <n v="33"/>
    <n v="15"/>
    <n v="12"/>
    <n v="0"/>
    <n v="0"/>
    <n v="8.5"/>
    <n v="9"/>
    <m/>
    <m/>
    <m/>
    <m/>
    <m/>
  </r>
  <r>
    <n v="76"/>
    <x v="4"/>
    <n v="76"/>
    <s v="Lê Thị Dung"/>
    <n v="23"/>
    <n v="10"/>
    <n v="6.5"/>
    <n v="0"/>
    <n v="0"/>
    <n v="7"/>
    <n v="9.5"/>
    <m/>
    <m/>
    <m/>
    <m/>
    <m/>
  </r>
  <r>
    <n v="77"/>
    <x v="3"/>
    <n v="77"/>
    <s v="Hồ Thị Diễm Trúc"/>
    <n v="47.5"/>
    <n v="15.5"/>
    <n v="17"/>
    <n v="0.5"/>
    <n v="0"/>
    <n v="11.5"/>
    <n v="20"/>
    <m/>
    <m/>
    <m/>
    <m/>
    <m/>
  </r>
  <r>
    <n v="78"/>
    <x v="5"/>
    <n v="78"/>
    <s v="Đặng Thị Lệ Hà"/>
    <n v="51"/>
    <n v="15.5"/>
    <n v="21.5"/>
    <n v="0"/>
    <n v="0"/>
    <n v="6"/>
    <n v="14"/>
    <m/>
    <m/>
    <m/>
    <m/>
    <m/>
  </r>
  <r>
    <n v="79"/>
    <x v="7"/>
    <n v="79"/>
    <s v="Nguyễn Thị Thu Hà"/>
    <n v="9.5"/>
    <n v="0"/>
    <n v="0"/>
    <n v="0"/>
    <n v="0"/>
    <n v="12"/>
    <n v="14.5"/>
    <m/>
    <m/>
    <m/>
    <m/>
    <m/>
  </r>
  <r>
    <n v="80"/>
    <x v="1"/>
    <n v="80"/>
    <s v="Nguyễn Văn Hiệp"/>
    <n v="0"/>
    <n v="0"/>
    <n v="0"/>
    <n v="0"/>
    <n v="0"/>
    <n v="0"/>
    <n v="0"/>
    <m/>
    <m/>
    <m/>
    <m/>
    <m/>
  </r>
  <r>
    <n v="81"/>
    <x v="7"/>
    <n v="81"/>
    <s v="Phan Văn Trưởng"/>
    <n v="45"/>
    <n v="14.5"/>
    <n v="18.5"/>
    <n v="12"/>
    <n v="14.5"/>
    <n v="14.5"/>
    <n v="13"/>
    <m/>
    <m/>
    <m/>
    <m/>
    <m/>
  </r>
  <r>
    <n v="82"/>
    <x v="4"/>
    <n v="82"/>
    <s v="Huỳnh Thị Huệ"/>
    <n v="0"/>
    <n v="0"/>
    <n v="0"/>
    <n v="0"/>
    <n v="0"/>
    <n v="6"/>
    <n v="2"/>
    <m/>
    <m/>
    <m/>
    <m/>
    <m/>
  </r>
  <r>
    <n v="83"/>
    <x v="1"/>
    <n v="83"/>
    <s v="Nguyễn Quang Cường"/>
    <n v="0"/>
    <n v="0"/>
    <n v="0"/>
    <n v="0"/>
    <n v="0"/>
    <n v="0"/>
    <n v="0"/>
    <m/>
    <m/>
    <m/>
    <m/>
    <m/>
  </r>
  <r>
    <n v="84"/>
    <x v="4"/>
    <n v="84"/>
    <s v="Phan Thị Ly Ly"/>
    <n v="30.5"/>
    <n v="9"/>
    <n v="7"/>
    <n v="0"/>
    <n v="0"/>
    <n v="0"/>
    <n v="0"/>
    <m/>
    <m/>
    <m/>
    <m/>
    <m/>
  </r>
  <r>
    <n v="85"/>
    <x v="12"/>
    <n v="85"/>
    <s v="Nguyễn Thị Họa Mi"/>
    <n v="31"/>
    <n v="9.5"/>
    <n v="13.5"/>
    <n v="0"/>
    <n v="1.5"/>
    <n v="6.5"/>
    <n v="14"/>
    <m/>
    <m/>
    <m/>
    <m/>
    <m/>
  </r>
  <r>
    <n v="86"/>
    <x v="4"/>
    <n v="86"/>
    <s v="Nguyễn Thị Na"/>
    <n v="24.5"/>
    <n v="8"/>
    <n v="3.5"/>
    <n v="0"/>
    <n v="0"/>
    <n v="6.5"/>
    <n v="8"/>
    <m/>
    <m/>
    <m/>
    <m/>
    <m/>
  </r>
  <r>
    <n v="87"/>
    <x v="4"/>
    <n v="87"/>
    <s v="Thiều Thị Hoài Nga"/>
    <n v="25"/>
    <n v="12.5"/>
    <n v="7.5"/>
    <n v="0"/>
    <n v="0"/>
    <n v="0"/>
    <n v="0"/>
    <m/>
    <m/>
    <m/>
    <m/>
    <m/>
  </r>
  <r>
    <n v="88"/>
    <x v="5"/>
    <n v="88"/>
    <s v="Phạm Thị Thu Nguyệt"/>
    <n v="21.5"/>
    <n v="6"/>
    <n v="5.5"/>
    <n v="1"/>
    <n v="9.5"/>
    <n v="12.5"/>
    <n v="22.5"/>
    <m/>
    <m/>
    <m/>
    <m/>
    <m/>
  </r>
  <r>
    <n v="89"/>
    <x v="8"/>
    <n v="89"/>
    <s v="Hà Thị Tuyết Nhung"/>
    <n v="29.5"/>
    <n v="19"/>
    <n v="0"/>
    <n v="0"/>
    <n v="0"/>
    <n v="0"/>
    <n v="0"/>
    <m/>
    <m/>
    <m/>
    <m/>
    <m/>
  </r>
  <r>
    <n v="90"/>
    <x v="8"/>
    <n v="90"/>
    <s v="Nguyễn Thị Hồng Phúc"/>
    <n v="41.5"/>
    <n v="15"/>
    <n v="17"/>
    <n v="0"/>
    <n v="0"/>
    <n v="11.5"/>
    <n v="18.5"/>
    <m/>
    <m/>
    <m/>
    <m/>
    <m/>
  </r>
  <r>
    <n v="91"/>
    <x v="9"/>
    <n v="91"/>
    <s v="Nguyễn Thị Phúc"/>
    <n v="0"/>
    <n v="0"/>
    <n v="0"/>
    <n v="0"/>
    <n v="0"/>
    <n v="0"/>
    <n v="0"/>
    <m/>
    <m/>
    <m/>
    <m/>
    <m/>
  </r>
  <r>
    <n v="92"/>
    <x v="4"/>
    <n v="92"/>
    <s v="Lê Thị Hường"/>
    <n v="39"/>
    <n v="14"/>
    <n v="16.5"/>
    <n v="0.5"/>
    <n v="0"/>
    <n v="4"/>
    <n v="10.5"/>
    <m/>
    <m/>
    <m/>
    <m/>
    <m/>
  </r>
  <r>
    <n v="93"/>
    <x v="7"/>
    <n v="93"/>
    <s v="Nguyễn Văn Quân"/>
    <n v="5"/>
    <n v="0"/>
    <n v="0"/>
    <n v="0"/>
    <n v="0"/>
    <n v="7.5"/>
    <n v="15.5"/>
    <m/>
    <m/>
    <m/>
    <m/>
    <m/>
  </r>
  <r>
    <n v="94"/>
    <x v="3"/>
    <n v="94"/>
    <s v="Nguyễn Hồng Quốc"/>
    <n v="48"/>
    <n v="19.5"/>
    <n v="15.5"/>
    <n v="1.5"/>
    <n v="0"/>
    <n v="11"/>
    <n v="15"/>
    <m/>
    <m/>
    <m/>
    <m/>
    <m/>
  </r>
  <r>
    <n v="95"/>
    <x v="7"/>
    <n v="95"/>
    <s v="Nguyễn Thị Nhật Trinh"/>
    <n v="45.5"/>
    <n v="16"/>
    <n v="17.5"/>
    <n v="0.5"/>
    <n v="2"/>
    <n v="11"/>
    <n v="11.5"/>
    <m/>
    <m/>
    <m/>
    <m/>
    <m/>
  </r>
  <r>
    <n v="96"/>
    <x v="5"/>
    <n v="96"/>
    <s v="Hồ Thị Dương Sinh"/>
    <n v="6.5"/>
    <n v="0"/>
    <n v="6.5"/>
    <n v="0"/>
    <n v="0"/>
    <n v="8"/>
    <n v="11"/>
    <m/>
    <m/>
    <m/>
    <m/>
    <m/>
  </r>
  <r>
    <n v="97"/>
    <x v="6"/>
    <n v="97"/>
    <s v="Nguyễn Thị Ngọc Quý"/>
    <n v="54"/>
    <n v="20"/>
    <n v="20.5"/>
    <n v="16.5"/>
    <n v="19.5"/>
    <n v="22"/>
    <n v="20.5"/>
    <m/>
    <m/>
    <m/>
    <m/>
    <m/>
  </r>
  <r>
    <n v="98"/>
    <x v="7"/>
    <n v="98"/>
    <s v="Nguyễn Hoàng Thu Thảo"/>
    <n v="0"/>
    <n v="0"/>
    <n v="0"/>
    <n v="0"/>
    <n v="0"/>
    <n v="0"/>
    <n v="0"/>
    <m/>
    <m/>
    <m/>
    <m/>
    <m/>
  </r>
  <r>
    <n v="99"/>
    <x v="6"/>
    <n v="99"/>
    <s v="Nguyễn Mai Thi"/>
    <n v="0"/>
    <n v="0"/>
    <n v="0"/>
    <n v="0"/>
    <n v="0"/>
    <n v="1.5"/>
    <n v="4.5"/>
    <m/>
    <m/>
    <m/>
    <m/>
    <m/>
  </r>
  <r>
    <n v="100"/>
    <x v="11"/>
    <n v="100"/>
    <s v="Nguyễn Thị Minh Thương"/>
    <n v="1"/>
    <n v="0.5"/>
    <n v="0"/>
    <n v="0"/>
    <n v="0"/>
    <n v="1"/>
    <n v="0"/>
    <m/>
    <m/>
    <m/>
    <m/>
    <m/>
  </r>
  <r>
    <n v="101"/>
    <x v="5"/>
    <n v="101"/>
    <s v="Nguyễn Thị Anh Thúy"/>
    <n v="0"/>
    <n v="0"/>
    <n v="0"/>
    <n v="0"/>
    <n v="0"/>
    <n v="9.5"/>
    <n v="12.5"/>
    <m/>
    <m/>
    <m/>
    <m/>
    <m/>
  </r>
  <r>
    <n v="102"/>
    <x v="7"/>
    <n v="102"/>
    <s v="Nguyễn Thị Thùy"/>
    <n v="4.5"/>
    <n v="0"/>
    <n v="0"/>
    <n v="0"/>
    <n v="0"/>
    <n v="9.5"/>
    <n v="9.5"/>
    <m/>
    <m/>
    <m/>
    <m/>
    <m/>
  </r>
  <r>
    <n v="103"/>
    <x v="11"/>
    <n v="103"/>
    <s v="Nguyễn Lê Hồng Thủy"/>
    <n v="12"/>
    <n v="0.5"/>
    <n v="11.5"/>
    <n v="0"/>
    <n v="0"/>
    <n v="9.5"/>
    <n v="9.5"/>
    <m/>
    <m/>
    <m/>
    <m/>
    <m/>
  </r>
  <r>
    <n v="104"/>
    <x v="4"/>
    <n v="104"/>
    <s v="Trần Thị Nguyễn Tiến"/>
    <n v="32"/>
    <n v="13.5"/>
    <n v="8.5"/>
    <n v="0"/>
    <n v="0"/>
    <n v="1.5"/>
    <n v="2.5"/>
    <m/>
    <m/>
    <m/>
    <m/>
    <m/>
  </r>
  <r>
    <n v="105"/>
    <x v="7"/>
    <n v="105"/>
    <s v="Phan Tấn Tiến"/>
    <n v="31.5"/>
    <n v="12"/>
    <n v="9.5"/>
    <n v="0"/>
    <n v="0"/>
    <n v="8"/>
    <n v="2.5"/>
    <m/>
    <m/>
    <m/>
    <m/>
    <m/>
  </r>
  <r>
    <n v="106"/>
    <x v="12"/>
    <n v="106"/>
    <s v="Nguyễn Đức Tính"/>
    <n v="24"/>
    <n v="10.5"/>
    <n v="5.5"/>
    <n v="0"/>
    <n v="0"/>
    <n v="4"/>
    <n v="0"/>
    <m/>
    <m/>
    <m/>
    <m/>
    <m/>
  </r>
  <r>
    <n v="107"/>
    <x v="3"/>
    <n v="107"/>
    <s v="Ngô Văn Thanh Tú"/>
    <n v="52.5"/>
    <n v="20"/>
    <n v="19"/>
    <n v="2.5"/>
    <n v="0"/>
    <n v="12"/>
    <n v="19"/>
    <m/>
    <m/>
    <m/>
    <m/>
    <m/>
  </r>
  <r>
    <n v="108"/>
    <x v="4"/>
    <n v="108"/>
    <s v="Võ Thị Kim Uyên"/>
    <n v="39.5"/>
    <n v="15.5"/>
    <n v="12.5"/>
    <n v="4.5"/>
    <n v="7"/>
    <n v="9.5"/>
    <n v="13"/>
    <m/>
    <m/>
    <m/>
    <m/>
    <m/>
  </r>
  <r>
    <n v="110"/>
    <x v="1"/>
    <n v="110"/>
    <s v="Trịnh Thị Thùy Sa"/>
    <n v="0"/>
    <n v="0"/>
    <n v="0"/>
    <n v="0"/>
    <n v="0"/>
    <n v="7.5"/>
    <n v="21"/>
    <m/>
    <m/>
    <m/>
    <m/>
    <m/>
  </r>
  <r>
    <n v="111"/>
    <x v="11"/>
    <n v="111"/>
    <s v="Hồ Văn Dông"/>
    <n v="21"/>
    <n v="11"/>
    <n v="5"/>
    <n v="0"/>
    <n v="0"/>
    <n v="0"/>
    <n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H18" firstHeaderRow="0" firstDataRow="1" firstDataCol="1"/>
  <pivotFields count="16">
    <pivotField numFmtId="1" showAll="0"/>
    <pivotField axis="axisRow" showAll="0">
      <items count="15">
        <item x="0"/>
        <item x="3"/>
        <item x="4"/>
        <item x="7"/>
        <item x="6"/>
        <item x="11"/>
        <item x="2"/>
        <item x="12"/>
        <item x="9"/>
        <item x="1"/>
        <item x="5"/>
        <item x="10"/>
        <item x="8"/>
        <item x="13"/>
        <item t="default"/>
      </items>
    </pivotField>
    <pivotField numFmtId="1" showAll="0"/>
    <pivotField showAll="0"/>
    <pivotField dataField="1" numFmtId="170" showAll="0"/>
    <pivotField dataField="1" numFmtId="170" showAll="0"/>
    <pivotField dataField="1" numFmtId="170" showAll="0"/>
    <pivotField dataField="1" showAll="0"/>
    <pivotField dataField="1" showAll="0"/>
    <pivotField dataField="1" showAll="0"/>
    <pivotField dataField="1" showAll="0"/>
    <pivotField showAll="0"/>
    <pivotField showAll="0"/>
    <pivotField showAll="0"/>
    <pivotField showAll="0"/>
    <pivotField showAll="0"/>
  </pivotFields>
  <rowFields count="1">
    <field x="1"/>
  </rowFields>
  <rowItems count="15">
    <i>
      <x/>
    </i>
    <i>
      <x v="1"/>
    </i>
    <i>
      <x v="2"/>
    </i>
    <i>
      <x v="3"/>
    </i>
    <i>
      <x v="4"/>
    </i>
    <i>
      <x v="5"/>
    </i>
    <i>
      <x v="6"/>
    </i>
    <i>
      <x v="7"/>
    </i>
    <i>
      <x v="8"/>
    </i>
    <i>
      <x v="9"/>
    </i>
    <i>
      <x v="10"/>
    </i>
    <i>
      <x v="11"/>
    </i>
    <i>
      <x v="12"/>
    </i>
    <i>
      <x v="13"/>
    </i>
    <i t="grand">
      <x/>
    </i>
  </rowItems>
  <colFields count="1">
    <field x="-2"/>
  </colFields>
  <colItems count="7">
    <i>
      <x/>
    </i>
    <i i="1">
      <x v="1"/>
    </i>
    <i i="2">
      <x v="2"/>
    </i>
    <i i="3">
      <x v="3"/>
    </i>
    <i i="4">
      <x v="4"/>
    </i>
    <i i="5">
      <x v="5"/>
    </i>
    <i i="6">
      <x v="6"/>
    </i>
  </colItems>
  <dataFields count="7">
    <dataField name="Sum of Tháng 1" fld="4" baseField="0" baseItem="0"/>
    <dataField name="Sum of Tháng 2" fld="5" baseField="0" baseItem="0"/>
    <dataField name="Sum of Tháng 3" fld="6" baseField="0" baseItem="0"/>
    <dataField name="Sum of Tháng 4" fld="7" baseField="1" baseItem="0"/>
    <dataField name="Sum of Tháng 5" fld="8" baseField="1" baseItem="0"/>
    <dataField name="Sum of Tháng 6" fld="9" baseField="0" baseItem="0"/>
    <dataField name="Sum of Tháng 7" fld="10" baseField="1"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ã_phòng_ban" sourceName="Select departments">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ã phòng ban" cache="Slicer_mã_phòng_ban" caption="Select departments" columnCount="5" style="SlicerStyleDark6" lockedPosition="1" rowHeight="241300"/>
</slicers>
</file>

<file path=xl/tables/table1.xml><?xml version="1.0" encoding="utf-8"?>
<table xmlns="http://schemas.openxmlformats.org/spreadsheetml/2006/main" id="1" name="chart_data" displayName="chart_data" ref="A20:I34" totalsRowShown="0" headerRowDxfId="48" headerRowBorderDxfId="47" tableBorderDxfId="46">
  <autoFilter ref="A20:I3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Select departments" dataDxfId="45"/>
    <tableColumn id="2" name="month"/>
    <tableColumn id="3" name="4" dataDxfId="44">
      <calculatedColumnFormula>INDEX($B$4:$H$17,MATCH(chart_data[[#This Row],[Select departments]],$A$4:$A$17,0),chart_data[[#Headers],[4]])</calculatedColumnFormula>
    </tableColumn>
    <tableColumn id="4" name="previous month" dataDxfId="43">
      <calculatedColumnFormula>IF(chart_data[[#Headers],[4]]="1",0,INDEX($B$4:$G$17,MATCH(chart_data[[#This Row],[Select departments]],$A$4:$A$17,0),chart_data[[#Headers],[4]]-1))</calculatedColumnFormula>
    </tableColumn>
    <tableColumn id="5" name="Δ%" dataDxfId="42">
      <calculatedColumnFormula>IF(chart_data[[#This Row],[previous month]]=0,0,(chart_data[[#This Row],[4]]-chart_data[[#This Row],[previous month]])/chart_data[[#This Row],[previous month]])</calculatedColumnFormula>
    </tableColumn>
    <tableColumn id="6" name="max">
      <calculatedColumnFormula>IF(C21=MAX($C$21:$C$34),C21,"")</calculatedColumnFormula>
    </tableColumn>
    <tableColumn id="7" name="min">
      <calculatedColumnFormula>IF(C21=MIN($C$21:$C$34),C21,"")</calculatedColumnFormula>
    </tableColumn>
    <tableColumn id="8" name="Column1"/>
    <tableColumn id="9" name="Column2"/>
  </tableColumns>
  <tableStyleInfo showFirstColumn="0" showLastColumn="0" showRowStripes="1" showColumnStripes="0"/>
</table>
</file>

<file path=xl/tables/table2.xml><?xml version="1.0" encoding="utf-8"?>
<table xmlns="http://schemas.openxmlformats.org/spreadsheetml/2006/main" id="5" name="BGD" displayName="BGD" ref="A1:P9" totalsRowShown="0">
  <autoFilter ref="A1:P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ID"/>
    <tableColumn id="2" name="Mã phòng ban"/>
    <tableColumn id="3" name="MACHINE ID">
      <calculatedColumnFormula>VLOOKUP(BGD[[#This Row],[ID]],IDMACHINE,2,0)</calculatedColumnFormula>
    </tableColumn>
    <tableColumn id="4" name="HỌ TÊN"/>
    <tableColumn id="5" name="LOG" dataDxfId="14">
      <calculatedColumnFormula>IFERROR((VLOOKUP(C2,DATA_LOG,3,0)),0)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3.xml><?xml version="1.0" encoding="utf-8"?>
<table xmlns="http://schemas.openxmlformats.org/spreadsheetml/2006/main" id="6" name="CDHA" displayName="CDHA" ref="A10:P22" totalsRowShown="0">
  <autoFilter ref="A10:P2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1:P22">
    <sortCondition ref="A12"/>
  </sortState>
  <tableColumns count="16">
    <tableColumn id="1" name="ID"/>
    <tableColumn id="2" name="Mã phòng ban"/>
    <tableColumn id="3" name="MACHINE ID"/>
    <tableColumn id="4" name="HỌ TÊN"/>
    <tableColumn id="5" name="LOG" dataDxfId="13">
      <calculatedColumnFormula>IFERROR((VLOOKUP(C11,DATA_LOG,3,0)),0)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4.xml><?xml version="1.0" encoding="utf-8"?>
<table xmlns="http://schemas.openxmlformats.org/spreadsheetml/2006/main" id="7" name="DD" displayName="DD" ref="A23:P52" totalsRowShown="0">
  <autoFilter ref="A23:P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24:P48">
    <sortCondition ref="A30"/>
  </sortState>
  <tableColumns count="16">
    <tableColumn id="1" name="ID"/>
    <tableColumn id="2" name="Mã phòng ban"/>
    <tableColumn id="3" name="MACHINE ID"/>
    <tableColumn id="4" name="HỌ TÊN"/>
    <tableColumn id="5" name="LOG" dataDxfId="12">
      <calculatedColumnFormula>IFERROR((VLOOKUP(C24,DATA_LOG,3,0)),0)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5.xml><?xml version="1.0" encoding="utf-8"?>
<table xmlns="http://schemas.openxmlformats.org/spreadsheetml/2006/main" id="8" name="DU" displayName="DU" ref="A53:P66" totalsRowShown="0">
  <autoFilter ref="A53:P6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54:P66">
    <sortCondition ref="A57"/>
  </sortState>
  <tableColumns count="16">
    <tableColumn id="1" name="ID"/>
    <tableColumn id="2" name="Mã phòng ban"/>
    <tableColumn id="3" name="MACHINE ID"/>
    <tableColumn id="4" name="HỌ TÊN"/>
    <tableColumn id="5" name="LOG" dataDxfId="11">
      <calculatedColumnFormula>IFERROR((VLOOKUP(C54,DATA_LOG,3,0)),0)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6.xml><?xml version="1.0" encoding="utf-8"?>
<table xmlns="http://schemas.openxmlformats.org/spreadsheetml/2006/main" id="9" name="KHTH" displayName="KHTH" ref="A68:P77" totalsRowShown="0">
  <autoFilter ref="A68:P7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69:P72">
    <sortCondition ref="A70"/>
  </sortState>
  <tableColumns count="16">
    <tableColumn id="1" name="ID"/>
    <tableColumn id="2" name="Mã phòng ban"/>
    <tableColumn id="3" name="MACHINE ID"/>
    <tableColumn id="4" name="HỌ TÊN"/>
    <tableColumn id="5" name="LOG" dataDxfId="10">
      <calculatedColumnFormula>IFERROR((VLOOKUP(C69,DATA_LOG,3,0)),0)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7.xml><?xml version="1.0" encoding="utf-8"?>
<table xmlns="http://schemas.openxmlformats.org/spreadsheetml/2006/main" id="10" name="NG" displayName="NG" ref="A78:P90" totalsRowShown="0">
  <autoFilter ref="A78:P9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79:P90">
    <sortCondition ref="A82"/>
  </sortState>
  <tableColumns count="16">
    <tableColumn id="1" name="ID"/>
    <tableColumn id="2" name="Mã phòng ban"/>
    <tableColumn id="3" name="MACHINE ID"/>
    <tableColumn id="4" name="HỌ TÊN"/>
    <tableColumn id="5" name="LOG" dataDxfId="9">
      <calculatedColumnFormula>IFERROR((VLOOKUP(C79,DATA_LOG,3,0)),0)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8.xml><?xml version="1.0" encoding="utf-8"?>
<table xmlns="http://schemas.openxmlformats.org/spreadsheetml/2006/main" id="11" name="NO" displayName="NO" ref="A92:P103" totalsRowShown="0">
  <autoFilter ref="A92:P10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93:P103">
    <sortCondition ref="A96"/>
  </sortState>
  <tableColumns count="16">
    <tableColumn id="1" name="ID"/>
    <tableColumn id="2" name="Mã phòng ban"/>
    <tableColumn id="3" name="MACHINE ID"/>
    <tableColumn id="4" name="HỌ TÊN"/>
    <tableColumn id="5" name="LOG" dataDxfId="8">
      <calculatedColumnFormula>IFERROR((VLOOKUP(C93,DATA_LOG,3,0)),0)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9.xml><?xml version="1.0" encoding="utf-8"?>
<table xmlns="http://schemas.openxmlformats.org/spreadsheetml/2006/main" id="13" name="RHM" displayName="RHM" ref="A105:P116" totalsRowShown="0">
  <autoFilter ref="A105:P1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06:P112">
    <sortCondition ref="A108"/>
  </sortState>
  <tableColumns count="16">
    <tableColumn id="1" name="ID"/>
    <tableColumn id="2" name="Mã phòng ban"/>
    <tableColumn id="3" name="MACHINE ID"/>
    <tableColumn id="4" name="HỌ TÊN"/>
    <tableColumn id="5" name="LOG" dataDxfId="7">
      <calculatedColumnFormula>IFERROR((VLOOKUP(C106,DATA_LOG,3,0)),0)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10.xml><?xml version="1.0" encoding="utf-8"?>
<table xmlns="http://schemas.openxmlformats.org/spreadsheetml/2006/main" id="14" name="SA" displayName="SA" ref="A118:P126" totalsRowShown="0">
  <autoFilter ref="A118:P1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19:P126">
    <sortCondition ref="A120"/>
  </sortState>
  <tableColumns count="16">
    <tableColumn id="1" name="ID"/>
    <tableColumn id="2" name="Mã phòng ban"/>
    <tableColumn id="3" name="MACHINE ID"/>
    <tableColumn id="4" name="HỌ TÊN"/>
    <tableColumn id="5" name="LOG" dataDxfId="6">
      <calculatedColumnFormula>IFERROR((VLOOKUP(C119,DATA_LOG,3,0)),0)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11.xml><?xml version="1.0" encoding="utf-8"?>
<table xmlns="http://schemas.openxmlformats.org/spreadsheetml/2006/main" id="15" name="TCKT" displayName="TCKT" ref="A128:P139" totalsRowShown="0">
  <autoFilter ref="A128:P13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29:P135">
    <sortCondition ref="A132"/>
  </sortState>
  <tableColumns count="16">
    <tableColumn id="1" name="ID"/>
    <tableColumn id="2" name="Mã phòng ban"/>
    <tableColumn id="3" name="MACHINE ID"/>
    <tableColumn id="4" name="HỌ TÊN"/>
    <tableColumn id="5" name="LOG" dataDxfId="5">
      <calculatedColumnFormula>IFERROR((VLOOKUP(C129,DATA_LOG,3,0)),0)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12.xml><?xml version="1.0" encoding="utf-8"?>
<table xmlns="http://schemas.openxmlformats.org/spreadsheetml/2006/main" id="16" name="XN" displayName="XN" ref="A141:P154" totalsRowShown="0">
  <autoFilter ref="A141:P15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42:P154">
    <sortCondition ref="A145"/>
  </sortState>
  <tableColumns count="16">
    <tableColumn id="1" name="ID"/>
    <tableColumn id="2" name="Mã phòng ban"/>
    <tableColumn id="3" name="MACHINE ID"/>
    <tableColumn id="4" name="HỌ TÊN"/>
    <tableColumn id="5" name="LOG" dataDxfId="4">
      <calculatedColumnFormula>IFERROR((VLOOKUP(C142,DATA_LOG,3,0)),0)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13.xml><?xml version="1.0" encoding="utf-8"?>
<table xmlns="http://schemas.openxmlformats.org/spreadsheetml/2006/main" id="17" name="YHCT" displayName="YHCT" ref="A156:P168" totalsRowShown="0">
  <autoFilter ref="A156:P16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57:P164">
    <sortCondition ref="A160"/>
  </sortState>
  <tableColumns count="16">
    <tableColumn id="1" name="ID"/>
    <tableColumn id="2" name="Mã phòng ban"/>
    <tableColumn id="3" name="MACHINE ID"/>
    <tableColumn id="4" name="HỌ TÊN"/>
    <tableColumn id="5" name="LOG" dataDxfId="3">
      <calculatedColumnFormula>IFERROR((VLOOKUP(C157,DATA_LOG,3,0)),0)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14.xml><?xml version="1.0" encoding="utf-8"?>
<table xmlns="http://schemas.openxmlformats.org/spreadsheetml/2006/main" id="18" name="YHDP" displayName="YHDP" ref="A169:P176" totalsRowShown="0">
  <autoFilter ref="A169:P17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sortState ref="A170:P172">
    <sortCondition ref="A171"/>
  </sortState>
  <tableColumns count="16">
    <tableColumn id="1" name="ID"/>
    <tableColumn id="2" name="Mã phòng ban"/>
    <tableColumn id="3" name="MACHINE ID"/>
    <tableColumn id="4" name="HỌ TÊN"/>
    <tableColumn id="5" name="LOG" dataDxfId="2">
      <calculatedColumnFormula>IFERROR((VLOOKUP(C170,DATA_LOG,3,0)),0)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ables/table15.xml><?xml version="1.0" encoding="utf-8"?>
<table xmlns="http://schemas.openxmlformats.org/spreadsheetml/2006/main" id="19" name="TCHC" displayName="TCHC" ref="A178:P185" totalsRowShown="0">
  <autoFilter ref="A178:P1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ID"/>
    <tableColumn id="2" name="Mã phòng ban"/>
    <tableColumn id="3" name="MACHINE ID"/>
    <tableColumn id="4" name="HỌ TÊN"/>
    <tableColumn id="5" name="LOG" dataDxfId="1">
      <calculatedColumnFormula>IFERROR((VLOOKUP(C179,DATA_LOG,3,0)),0)</calculatedColumnFormula>
    </tableColumn>
    <tableColumn id="6" name="Column2"/>
    <tableColumn id="7" name="Column3"/>
    <tableColumn id="8" name="Column4"/>
    <tableColumn id="9" name="Column5"/>
    <tableColumn id="10" name="Column6"/>
    <tableColumn id="11" name="Column7"/>
    <tableColumn id="12" name="Column8"/>
    <tableColumn id="13" name="Column9"/>
    <tableColumn id="14" name="LOG0"/>
    <tableColumn id="15" name="LOG1"/>
    <tableColumn id="16" name="LOG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printerSettings" Target="../printerSettings/printerSettings4.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showGridLines="0" showRowColHeaders="0" topLeftCell="A2" workbookViewId="0">
      <selection activeCell="W39" sqref="W39"/>
    </sheetView>
  </sheetViews>
  <sheetFormatPr defaultRowHeight="15" x14ac:dyDescent="0.25"/>
  <sheetData/>
  <pageMargins left="0.7" right="0.7" top="0.75" bottom="0.75" header="0.3" footer="0.3"/>
  <pageSetup orientation="portrait" horizontalDpi="200" verticalDpi="2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8194" r:id="rId5" name="List Box 2">
              <controlPr defaultSize="0" autoLine="0" autoPict="0" altText="Select month to display in chart!">
                <anchor moveWithCells="1">
                  <from>
                    <xdr:col>19</xdr:col>
                    <xdr:colOff>533400</xdr:colOff>
                    <xdr:row>21</xdr:row>
                    <xdr:rowOff>57150</xdr:rowOff>
                  </from>
                  <to>
                    <xdr:col>21</xdr:col>
                    <xdr:colOff>104775</xdr:colOff>
                    <xdr:row>26</xdr:row>
                    <xdr:rowOff>19050</xdr:rowOff>
                  </to>
                </anchor>
              </controlPr>
            </control>
          </mc:Choice>
        </mc:AlternateContent>
      </controls>
    </mc:Choice>
  </mc:AlternateContent>
  <extLs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autoPageBreaks="0"/>
  </sheetPr>
  <dimension ref="A1:NG236"/>
  <sheetViews>
    <sheetView topLeftCell="A142" zoomScale="64" zoomScaleNormal="64" workbookViewId="0">
      <selection activeCell="K127" sqref="K127:K236"/>
    </sheetView>
  </sheetViews>
  <sheetFormatPr defaultRowHeight="15" x14ac:dyDescent="0.25"/>
  <cols>
    <col min="1" max="1" width="10" customWidth="1"/>
    <col min="2" max="2" width="27.7109375" bestFit="1" customWidth="1"/>
    <col min="3" max="3" width="5.85546875" customWidth="1"/>
    <col min="4" max="4" width="22.42578125" customWidth="1"/>
    <col min="5" max="9" width="10.7109375" customWidth="1"/>
    <col min="10" max="16" width="10.7109375" style="108" customWidth="1"/>
    <col min="17" max="35" width="4.42578125" style="108" customWidth="1"/>
    <col min="36" max="36" width="4.140625" style="108" customWidth="1"/>
    <col min="37" max="37" width="6.5703125" style="108" customWidth="1"/>
    <col min="38" max="41" width="4.140625" style="161" customWidth="1"/>
    <col min="42" max="96" width="4.140625" style="108" customWidth="1"/>
    <col min="97" max="371" width="3.28515625" style="108" customWidth="1"/>
    <col min="372" max="16384" width="9.140625" style="150"/>
  </cols>
  <sheetData>
    <row r="1" spans="1:46" customFormat="1" x14ac:dyDescent="0.25">
      <c r="A1" s="145" t="s">
        <v>288</v>
      </c>
      <c r="B1" s="104"/>
      <c r="C1" s="146"/>
      <c r="D1" s="104" t="s">
        <v>345</v>
      </c>
      <c r="E1" s="224"/>
      <c r="AL1" s="53"/>
      <c r="AM1" s="53"/>
      <c r="AN1" s="53"/>
      <c r="AO1" s="53"/>
    </row>
    <row r="2" spans="1:46" customFormat="1" x14ac:dyDescent="0.25">
      <c r="A2" s="15">
        <v>7</v>
      </c>
      <c r="B2" s="16">
        <v>2020</v>
      </c>
      <c r="AL2" s="53"/>
      <c r="AM2" s="53"/>
      <c r="AN2" s="53"/>
      <c r="AO2" s="53"/>
      <c r="AQ2" s="102"/>
    </row>
    <row r="3" spans="1:46" customFormat="1" ht="15" customHeight="1" x14ac:dyDescent="0.25">
      <c r="A3" s="232" t="s">
        <v>326</v>
      </c>
      <c r="B3" s="232"/>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row>
    <row r="4" spans="1:46" customFormat="1" ht="15.75" thickBot="1" x14ac:dyDescent="0.3">
      <c r="A4" s="233" t="s">
        <v>431</v>
      </c>
      <c r="B4" s="233"/>
      <c r="C4" s="233"/>
      <c r="D4" s="233"/>
      <c r="E4" s="233"/>
      <c r="F4" s="233"/>
      <c r="G4" s="233"/>
      <c r="H4" s="233"/>
      <c r="I4" s="233"/>
      <c r="J4" s="233"/>
      <c r="K4" s="233"/>
      <c r="L4" s="233"/>
      <c r="M4" s="233"/>
      <c r="N4" s="233"/>
      <c r="O4" s="233"/>
      <c r="P4" s="233"/>
      <c r="Q4" s="233"/>
      <c r="R4" s="233"/>
      <c r="S4" s="233"/>
      <c r="T4" s="233"/>
      <c r="U4" s="233"/>
      <c r="V4" s="233"/>
      <c r="W4" s="233"/>
      <c r="X4" s="233"/>
      <c r="Y4" s="233"/>
      <c r="Z4" s="233"/>
      <c r="AA4" s="233"/>
      <c r="AB4" s="233"/>
      <c r="AC4" s="233"/>
      <c r="AD4" s="233"/>
      <c r="AE4" s="233"/>
      <c r="AF4" s="233"/>
      <c r="AG4" s="233"/>
      <c r="AH4" s="233"/>
      <c r="AI4" s="233"/>
      <c r="AJ4" s="233"/>
      <c r="AK4" s="233"/>
      <c r="AL4" s="233"/>
      <c r="AM4" s="233"/>
      <c r="AN4" s="233"/>
      <c r="AO4" s="233"/>
    </row>
    <row r="5" spans="1:46" customFormat="1" ht="15.75" thickTop="1" x14ac:dyDescent="0.25">
      <c r="A5" s="56"/>
      <c r="B5" s="57"/>
      <c r="C5" s="57"/>
      <c r="D5" s="57"/>
      <c r="E5" s="57" t="s">
        <v>195</v>
      </c>
      <c r="F5" s="17">
        <f>DATE(B2,A2,1)</f>
        <v>44013</v>
      </c>
      <c r="G5" s="17">
        <f>F5+1</f>
        <v>44014</v>
      </c>
      <c r="H5" s="17">
        <f t="shared" ref="H5:AG5" si="0">G5+1</f>
        <v>44015</v>
      </c>
      <c r="I5" s="17">
        <f t="shared" si="0"/>
        <v>44016</v>
      </c>
      <c r="J5" s="17">
        <f t="shared" si="0"/>
        <v>44017</v>
      </c>
      <c r="K5" s="17">
        <f t="shared" si="0"/>
        <v>44018</v>
      </c>
      <c r="L5" s="17">
        <f t="shared" si="0"/>
        <v>44019</v>
      </c>
      <c r="M5" s="17">
        <f t="shared" si="0"/>
        <v>44020</v>
      </c>
      <c r="N5" s="17">
        <f t="shared" si="0"/>
        <v>44021</v>
      </c>
      <c r="O5" s="17">
        <f t="shared" si="0"/>
        <v>44022</v>
      </c>
      <c r="P5" s="17">
        <f t="shared" si="0"/>
        <v>44023</v>
      </c>
      <c r="Q5" s="17">
        <f t="shared" si="0"/>
        <v>44024</v>
      </c>
      <c r="R5" s="17">
        <f t="shared" si="0"/>
        <v>44025</v>
      </c>
      <c r="S5" s="17">
        <f t="shared" si="0"/>
        <v>44026</v>
      </c>
      <c r="T5" s="17">
        <f t="shared" si="0"/>
        <v>44027</v>
      </c>
      <c r="U5" s="17">
        <f t="shared" si="0"/>
        <v>44028</v>
      </c>
      <c r="V5" s="17">
        <f t="shared" si="0"/>
        <v>44029</v>
      </c>
      <c r="W5" s="17">
        <f t="shared" si="0"/>
        <v>44030</v>
      </c>
      <c r="X5" s="17">
        <f t="shared" si="0"/>
        <v>44031</v>
      </c>
      <c r="Y5" s="17">
        <f>X5+1</f>
        <v>44032</v>
      </c>
      <c r="Z5" s="17">
        <f t="shared" si="0"/>
        <v>44033</v>
      </c>
      <c r="AA5" s="17">
        <f t="shared" si="0"/>
        <v>44034</v>
      </c>
      <c r="AB5" s="17">
        <f t="shared" si="0"/>
        <v>44035</v>
      </c>
      <c r="AC5" s="17">
        <f t="shared" si="0"/>
        <v>44036</v>
      </c>
      <c r="AD5" s="17">
        <f t="shared" si="0"/>
        <v>44037</v>
      </c>
      <c r="AE5" s="17">
        <f t="shared" si="0"/>
        <v>44038</v>
      </c>
      <c r="AF5" s="17">
        <f t="shared" si="0"/>
        <v>44039</v>
      </c>
      <c r="AG5" s="17">
        <f t="shared" si="0"/>
        <v>44040</v>
      </c>
      <c r="AH5" s="17">
        <f>IF(DAY(AG5+1)=DAY(F5),"",AG5+1)</f>
        <v>44041</v>
      </c>
      <c r="AI5" s="17">
        <f>IF(AH5="","",IF(DAY(AH5+1)=DAY(F5),"",AH5+1))</f>
        <v>44042</v>
      </c>
      <c r="AJ5" s="17">
        <f>IF(AI5="","",IF(DAY(AI5+1)=DAY(F5),"",AI5+1))</f>
        <v>44043</v>
      </c>
      <c r="AK5" s="234" t="s">
        <v>286</v>
      </c>
      <c r="AL5" s="234" t="s">
        <v>287</v>
      </c>
      <c r="AM5" s="234" t="s">
        <v>197</v>
      </c>
      <c r="AN5" s="234" t="s">
        <v>198</v>
      </c>
      <c r="AO5" s="236" t="s">
        <v>199</v>
      </c>
    </row>
    <row r="6" spans="1:46" customFormat="1" x14ac:dyDescent="0.25">
      <c r="A6" s="58"/>
      <c r="B6" s="20"/>
      <c r="C6" s="20"/>
      <c r="D6" s="20"/>
      <c r="E6" s="20"/>
      <c r="F6" s="88">
        <f>WEEKDAY(F5)</f>
        <v>4</v>
      </c>
      <c r="G6" s="88">
        <f t="shared" ref="G6:AJ6" si="1">WEEKDAY(G5)</f>
        <v>5</v>
      </c>
      <c r="H6" s="88">
        <f t="shared" si="1"/>
        <v>6</v>
      </c>
      <c r="I6" s="88">
        <f t="shared" si="1"/>
        <v>7</v>
      </c>
      <c r="J6" s="88">
        <f t="shared" si="1"/>
        <v>1</v>
      </c>
      <c r="K6" s="88">
        <f t="shared" si="1"/>
        <v>2</v>
      </c>
      <c r="L6" s="88">
        <f t="shared" si="1"/>
        <v>3</v>
      </c>
      <c r="M6" s="88">
        <f t="shared" si="1"/>
        <v>4</v>
      </c>
      <c r="N6" s="88">
        <f t="shared" si="1"/>
        <v>5</v>
      </c>
      <c r="O6" s="88">
        <f t="shared" si="1"/>
        <v>6</v>
      </c>
      <c r="P6" s="88">
        <f t="shared" si="1"/>
        <v>7</v>
      </c>
      <c r="Q6" s="88">
        <f t="shared" si="1"/>
        <v>1</v>
      </c>
      <c r="R6" s="88">
        <f t="shared" si="1"/>
        <v>2</v>
      </c>
      <c r="S6" s="88">
        <f t="shared" si="1"/>
        <v>3</v>
      </c>
      <c r="T6" s="88">
        <f t="shared" si="1"/>
        <v>4</v>
      </c>
      <c r="U6" s="88">
        <f t="shared" si="1"/>
        <v>5</v>
      </c>
      <c r="V6" s="88">
        <f t="shared" si="1"/>
        <v>6</v>
      </c>
      <c r="W6" s="88">
        <f t="shared" si="1"/>
        <v>7</v>
      </c>
      <c r="X6" s="88">
        <f t="shared" si="1"/>
        <v>1</v>
      </c>
      <c r="Y6" s="88">
        <f t="shared" si="1"/>
        <v>2</v>
      </c>
      <c r="Z6" s="88">
        <f t="shared" si="1"/>
        <v>3</v>
      </c>
      <c r="AA6" s="88">
        <f t="shared" si="1"/>
        <v>4</v>
      </c>
      <c r="AB6" s="88">
        <f t="shared" si="1"/>
        <v>5</v>
      </c>
      <c r="AC6" s="88">
        <f t="shared" si="1"/>
        <v>6</v>
      </c>
      <c r="AD6" s="88">
        <f t="shared" si="1"/>
        <v>7</v>
      </c>
      <c r="AE6" s="88">
        <f t="shared" si="1"/>
        <v>1</v>
      </c>
      <c r="AF6" s="88">
        <f t="shared" si="1"/>
        <v>2</v>
      </c>
      <c r="AG6" s="88">
        <f t="shared" si="1"/>
        <v>3</v>
      </c>
      <c r="AH6" s="88">
        <f t="shared" si="1"/>
        <v>4</v>
      </c>
      <c r="AI6" s="88">
        <f t="shared" si="1"/>
        <v>5</v>
      </c>
      <c r="AJ6" s="88">
        <f t="shared" si="1"/>
        <v>6</v>
      </c>
      <c r="AK6" s="235"/>
      <c r="AL6" s="235"/>
      <c r="AM6" s="235"/>
      <c r="AN6" s="235"/>
      <c r="AO6" s="237"/>
    </row>
    <row r="7" spans="1:46" customFormat="1" ht="39.75" customHeight="1" x14ac:dyDescent="0.25">
      <c r="A7" s="58"/>
      <c r="B7" s="20"/>
      <c r="C7" s="20"/>
      <c r="D7" s="20"/>
      <c r="E7" s="20" t="s">
        <v>196</v>
      </c>
      <c r="F7" s="59" t="str">
        <f>CHOOSE(WEEKDAY(F6),"CN","T.hai","T.ba","T.tư","T.năm","T.sáu","T.bảy")</f>
        <v>T.tư</v>
      </c>
      <c r="G7" s="59" t="str">
        <f t="shared" ref="G7:AJ7" si="2">CHOOSE(WEEKDAY(G6),"CN","T.hai","T.ba","T.tư","T.năm","T.sáu","T.bảy")</f>
        <v>T.năm</v>
      </c>
      <c r="H7" s="59" t="str">
        <f t="shared" si="2"/>
        <v>T.sáu</v>
      </c>
      <c r="I7" s="59" t="str">
        <f t="shared" si="2"/>
        <v>T.bảy</v>
      </c>
      <c r="J7" s="59" t="str">
        <f t="shared" si="2"/>
        <v>CN</v>
      </c>
      <c r="K7" s="59" t="str">
        <f t="shared" si="2"/>
        <v>T.hai</v>
      </c>
      <c r="L7" s="59" t="str">
        <f t="shared" si="2"/>
        <v>T.ba</v>
      </c>
      <c r="M7" s="59" t="str">
        <f t="shared" si="2"/>
        <v>T.tư</v>
      </c>
      <c r="N7" s="59" t="str">
        <f t="shared" si="2"/>
        <v>T.năm</v>
      </c>
      <c r="O7" s="59" t="str">
        <f t="shared" si="2"/>
        <v>T.sáu</v>
      </c>
      <c r="P7" s="59" t="str">
        <f t="shared" si="2"/>
        <v>T.bảy</v>
      </c>
      <c r="Q7" s="59" t="str">
        <f t="shared" si="2"/>
        <v>CN</v>
      </c>
      <c r="R7" s="59" t="str">
        <f t="shared" si="2"/>
        <v>T.hai</v>
      </c>
      <c r="S7" s="59" t="str">
        <f t="shared" si="2"/>
        <v>T.ba</v>
      </c>
      <c r="T7" s="59" t="str">
        <f t="shared" si="2"/>
        <v>T.tư</v>
      </c>
      <c r="U7" s="59" t="str">
        <f t="shared" si="2"/>
        <v>T.năm</v>
      </c>
      <c r="V7" s="59" t="str">
        <f t="shared" si="2"/>
        <v>T.sáu</v>
      </c>
      <c r="W7" s="59" t="str">
        <f t="shared" si="2"/>
        <v>T.bảy</v>
      </c>
      <c r="X7" s="59" t="str">
        <f t="shared" si="2"/>
        <v>CN</v>
      </c>
      <c r="Y7" s="59" t="str">
        <f t="shared" si="2"/>
        <v>T.hai</v>
      </c>
      <c r="Z7" s="59" t="str">
        <f t="shared" si="2"/>
        <v>T.ba</v>
      </c>
      <c r="AA7" s="59" t="str">
        <f t="shared" si="2"/>
        <v>T.tư</v>
      </c>
      <c r="AB7" s="59" t="str">
        <f t="shared" si="2"/>
        <v>T.năm</v>
      </c>
      <c r="AC7" s="59" t="str">
        <f t="shared" si="2"/>
        <v>T.sáu</v>
      </c>
      <c r="AD7" s="59" t="str">
        <f t="shared" si="2"/>
        <v>T.bảy</v>
      </c>
      <c r="AE7" s="59" t="str">
        <f t="shared" si="2"/>
        <v>CN</v>
      </c>
      <c r="AF7" s="59" t="str">
        <f t="shared" si="2"/>
        <v>T.hai</v>
      </c>
      <c r="AG7" s="59" t="str">
        <f t="shared" si="2"/>
        <v>T.ba</v>
      </c>
      <c r="AH7" s="59" t="str">
        <f t="shared" si="2"/>
        <v>T.tư</v>
      </c>
      <c r="AI7" s="59" t="str">
        <f t="shared" si="2"/>
        <v>T.năm</v>
      </c>
      <c r="AJ7" s="59" t="str">
        <f t="shared" si="2"/>
        <v>T.sáu</v>
      </c>
      <c r="AK7" s="235"/>
      <c r="AL7" s="235"/>
      <c r="AM7" s="235"/>
      <c r="AN7" s="235"/>
      <c r="AO7" s="237"/>
    </row>
    <row r="8" spans="1:46" s="65" customFormat="1" ht="28.5" x14ac:dyDescent="0.25">
      <c r="A8" s="60" t="s">
        <v>193</v>
      </c>
      <c r="B8" s="61" t="s">
        <v>348</v>
      </c>
      <c r="C8" s="62" t="s">
        <v>289</v>
      </c>
      <c r="D8" s="61" t="s">
        <v>194</v>
      </c>
      <c r="E8" s="62" t="s">
        <v>290</v>
      </c>
      <c r="F8" s="63"/>
      <c r="G8" s="63"/>
      <c r="H8" s="63"/>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6"/>
      <c r="AM8" s="66"/>
      <c r="AN8" s="66"/>
      <c r="AO8" s="67"/>
      <c r="AP8" s="64"/>
      <c r="AQ8" s="64"/>
      <c r="AS8" s="64"/>
      <c r="AT8" s="64"/>
    </row>
    <row r="9" spans="1:46" customFormat="1" x14ac:dyDescent="0.25">
      <c r="A9" s="85">
        <v>1</v>
      </c>
      <c r="B9" s="20" t="s">
        <v>332</v>
      </c>
      <c r="C9" s="88">
        <v>1</v>
      </c>
      <c r="D9" s="19" t="s">
        <v>96</v>
      </c>
      <c r="E9" s="18"/>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f t="shared" ref="AK9:AK40" si="3">COUNTIF(F9:AJ9,"x")+COUNTIF(F9:AJ9,"x/2")*0.5</f>
        <v>0</v>
      </c>
      <c r="AL9" s="68"/>
      <c r="AM9" s="68"/>
      <c r="AN9" s="68"/>
      <c r="AO9" s="69"/>
    </row>
    <row r="10" spans="1:46" customFormat="1" x14ac:dyDescent="0.25">
      <c r="A10" s="85">
        <v>2</v>
      </c>
      <c r="B10" s="20" t="s">
        <v>332</v>
      </c>
      <c r="C10" s="88">
        <v>2</v>
      </c>
      <c r="D10" s="19" t="s">
        <v>97</v>
      </c>
      <c r="E10" s="18"/>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c r="AI10" s="99"/>
      <c r="AJ10" s="99"/>
      <c r="AK10" s="99">
        <f t="shared" si="3"/>
        <v>0</v>
      </c>
      <c r="AL10" s="68"/>
      <c r="AM10" s="68"/>
      <c r="AN10" s="68"/>
      <c r="AO10" s="69"/>
    </row>
    <row r="11" spans="1:46" customFormat="1" x14ac:dyDescent="0.25">
      <c r="A11" s="85">
        <v>3</v>
      </c>
      <c r="B11" s="20" t="s">
        <v>332</v>
      </c>
      <c r="C11" s="88">
        <v>3</v>
      </c>
      <c r="D11" s="19" t="s">
        <v>98</v>
      </c>
      <c r="E11" s="18"/>
      <c r="F11" s="99"/>
      <c r="G11" s="99" t="s">
        <v>222</v>
      </c>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c r="AI11" s="99"/>
      <c r="AJ11" s="99"/>
      <c r="AK11" s="99">
        <f t="shared" si="3"/>
        <v>0.5</v>
      </c>
      <c r="AL11" s="68"/>
      <c r="AM11" s="68"/>
      <c r="AN11" s="68"/>
      <c r="AO11" s="69"/>
    </row>
    <row r="12" spans="1:46" customFormat="1" x14ac:dyDescent="0.25">
      <c r="A12" s="85">
        <v>4</v>
      </c>
      <c r="B12" s="20" t="s">
        <v>332</v>
      </c>
      <c r="C12" s="88">
        <v>4</v>
      </c>
      <c r="D12" s="19" t="s">
        <v>138</v>
      </c>
      <c r="E12" s="18"/>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f t="shared" si="3"/>
        <v>0</v>
      </c>
      <c r="AL12" s="68"/>
      <c r="AM12" s="68"/>
      <c r="AN12" s="68"/>
      <c r="AO12" s="69"/>
    </row>
    <row r="13" spans="1:46" customFormat="1" x14ac:dyDescent="0.25">
      <c r="A13" s="85">
        <v>5</v>
      </c>
      <c r="B13" s="20" t="s">
        <v>343</v>
      </c>
      <c r="C13" s="88">
        <v>5</v>
      </c>
      <c r="D13" s="19" t="s">
        <v>99</v>
      </c>
      <c r="E13" s="18"/>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f t="shared" si="3"/>
        <v>0</v>
      </c>
      <c r="AL13" s="68"/>
      <c r="AM13" s="68"/>
      <c r="AN13" s="68"/>
      <c r="AO13" s="69"/>
    </row>
    <row r="14" spans="1:46" customFormat="1" x14ac:dyDescent="0.25">
      <c r="A14" s="85">
        <v>6</v>
      </c>
      <c r="B14" s="10" t="s">
        <v>337</v>
      </c>
      <c r="C14" s="88">
        <v>6</v>
      </c>
      <c r="D14" s="19" t="s">
        <v>291</v>
      </c>
      <c r="E14" s="18"/>
      <c r="F14" s="99" t="s">
        <v>222</v>
      </c>
      <c r="G14" s="99" t="s">
        <v>222</v>
      </c>
      <c r="H14" s="99" t="s">
        <v>223</v>
      </c>
      <c r="I14" s="99"/>
      <c r="J14" s="99"/>
      <c r="K14" s="99" t="s">
        <v>222</v>
      </c>
      <c r="L14" s="99" t="s">
        <v>223</v>
      </c>
      <c r="M14" s="99" t="s">
        <v>223</v>
      </c>
      <c r="N14" s="99" t="s">
        <v>223</v>
      </c>
      <c r="O14" s="99"/>
      <c r="P14" s="99"/>
      <c r="Q14" s="99"/>
      <c r="R14" s="99" t="s">
        <v>223</v>
      </c>
      <c r="S14" s="99" t="s">
        <v>223</v>
      </c>
      <c r="T14" s="99"/>
      <c r="U14" s="99" t="s">
        <v>223</v>
      </c>
      <c r="V14" s="99" t="s">
        <v>223</v>
      </c>
      <c r="W14" s="99"/>
      <c r="X14" s="99" t="s">
        <v>222</v>
      </c>
      <c r="Y14" s="99" t="s">
        <v>223</v>
      </c>
      <c r="Z14" s="99" t="s">
        <v>223</v>
      </c>
      <c r="AA14" s="99" t="s">
        <v>222</v>
      </c>
      <c r="AB14" s="99" t="s">
        <v>222</v>
      </c>
      <c r="AC14" s="99" t="s">
        <v>223</v>
      </c>
      <c r="AD14" s="99"/>
      <c r="AE14" s="99"/>
      <c r="AF14" s="99" t="s">
        <v>222</v>
      </c>
      <c r="AG14" s="99" t="s">
        <v>222</v>
      </c>
      <c r="AH14" s="99"/>
      <c r="AI14" s="99"/>
      <c r="AJ14" s="99"/>
      <c r="AK14" s="99">
        <f t="shared" si="3"/>
        <v>15</v>
      </c>
      <c r="AL14" s="68"/>
      <c r="AM14" s="68"/>
      <c r="AN14" s="68"/>
      <c r="AO14" s="69"/>
    </row>
    <row r="15" spans="1:46" customFormat="1" x14ac:dyDescent="0.25">
      <c r="A15" s="85">
        <v>7</v>
      </c>
      <c r="B15" s="10" t="s">
        <v>333</v>
      </c>
      <c r="C15" s="88">
        <v>7</v>
      </c>
      <c r="D15" s="19" t="s">
        <v>292</v>
      </c>
      <c r="E15" s="18"/>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9"/>
      <c r="AH15" s="99"/>
      <c r="AI15" s="99"/>
      <c r="AJ15" s="99"/>
      <c r="AK15" s="99">
        <f t="shared" si="3"/>
        <v>0</v>
      </c>
      <c r="AL15" s="68"/>
      <c r="AM15" s="68"/>
      <c r="AN15" s="68"/>
      <c r="AO15" s="69"/>
    </row>
    <row r="16" spans="1:46" customFormat="1" x14ac:dyDescent="0.25">
      <c r="A16" s="85">
        <v>8</v>
      </c>
      <c r="B16" s="20" t="s">
        <v>334</v>
      </c>
      <c r="C16" s="88">
        <v>8</v>
      </c>
      <c r="D16" s="19" t="s">
        <v>161</v>
      </c>
      <c r="E16" s="18"/>
      <c r="F16" s="99"/>
      <c r="G16" s="99" t="s">
        <v>223</v>
      </c>
      <c r="H16" s="99"/>
      <c r="I16" s="99"/>
      <c r="J16" s="99"/>
      <c r="K16" s="99"/>
      <c r="L16" s="99"/>
      <c r="M16" s="99"/>
      <c r="N16" s="99"/>
      <c r="O16" s="99"/>
      <c r="P16" s="99"/>
      <c r="Q16" s="99"/>
      <c r="R16" s="99"/>
      <c r="S16" s="99"/>
      <c r="T16" s="99"/>
      <c r="U16" s="99"/>
      <c r="V16" s="99"/>
      <c r="W16" s="99"/>
      <c r="X16" s="99"/>
      <c r="Y16" s="99"/>
      <c r="Z16" s="99"/>
      <c r="AA16" s="99"/>
      <c r="AB16" s="99"/>
      <c r="AC16" s="99" t="s">
        <v>223</v>
      </c>
      <c r="AD16" s="99"/>
      <c r="AE16" s="99"/>
      <c r="AF16" s="99" t="s">
        <v>223</v>
      </c>
      <c r="AG16" s="99"/>
      <c r="AH16" s="99"/>
      <c r="AI16" s="99"/>
      <c r="AJ16" s="99"/>
      <c r="AK16" s="99">
        <f t="shared" si="3"/>
        <v>3</v>
      </c>
      <c r="AL16" s="68"/>
      <c r="AM16" s="68"/>
      <c r="AN16" s="68"/>
      <c r="AO16" s="69"/>
    </row>
    <row r="17" spans="1:41" customFormat="1" x14ac:dyDescent="0.25">
      <c r="A17" s="85">
        <v>9</v>
      </c>
      <c r="B17" s="20" t="s">
        <v>345</v>
      </c>
      <c r="C17" s="88">
        <v>9</v>
      </c>
      <c r="D17" s="19" t="s">
        <v>427</v>
      </c>
      <c r="E17" s="18"/>
      <c r="F17" s="99" t="s">
        <v>223</v>
      </c>
      <c r="G17" s="99" t="s">
        <v>223</v>
      </c>
      <c r="H17" s="99" t="s">
        <v>223</v>
      </c>
      <c r="I17" s="99"/>
      <c r="J17" s="99"/>
      <c r="K17" s="99" t="s">
        <v>223</v>
      </c>
      <c r="L17" s="99" t="s">
        <v>223</v>
      </c>
      <c r="M17" s="99" t="s">
        <v>223</v>
      </c>
      <c r="N17" s="99" t="s">
        <v>223</v>
      </c>
      <c r="O17" s="99" t="s">
        <v>223</v>
      </c>
      <c r="P17" s="99"/>
      <c r="Q17" s="99"/>
      <c r="R17" s="99" t="s">
        <v>223</v>
      </c>
      <c r="S17" s="99" t="s">
        <v>223</v>
      </c>
      <c r="T17" s="99" t="s">
        <v>222</v>
      </c>
      <c r="U17" s="99" t="s">
        <v>223</v>
      </c>
      <c r="V17" s="99" t="s">
        <v>223</v>
      </c>
      <c r="W17" s="99"/>
      <c r="X17" s="99"/>
      <c r="Y17" s="99" t="s">
        <v>223</v>
      </c>
      <c r="Z17" s="99" t="s">
        <v>223</v>
      </c>
      <c r="AA17" s="99" t="s">
        <v>223</v>
      </c>
      <c r="AB17" s="99" t="s">
        <v>223</v>
      </c>
      <c r="AC17" s="99" t="s">
        <v>223</v>
      </c>
      <c r="AD17" s="99"/>
      <c r="AE17" s="99"/>
      <c r="AF17" s="99" t="s">
        <v>223</v>
      </c>
      <c r="AG17" s="99" t="s">
        <v>223</v>
      </c>
      <c r="AH17" s="99" t="s">
        <v>223</v>
      </c>
      <c r="AI17" s="99" t="s">
        <v>222</v>
      </c>
      <c r="AJ17" s="99" t="s">
        <v>222</v>
      </c>
      <c r="AK17" s="99">
        <f t="shared" si="3"/>
        <v>21.5</v>
      </c>
      <c r="AL17" s="68"/>
      <c r="AM17" s="68"/>
      <c r="AN17" s="68"/>
      <c r="AO17" s="69"/>
    </row>
    <row r="18" spans="1:41" customFormat="1" x14ac:dyDescent="0.25">
      <c r="A18" s="85">
        <v>10</v>
      </c>
      <c r="B18" s="20" t="s">
        <v>342</v>
      </c>
      <c r="C18" s="88">
        <v>10</v>
      </c>
      <c r="D18" s="21" t="s">
        <v>184</v>
      </c>
      <c r="E18" s="18"/>
      <c r="F18" s="99"/>
      <c r="G18" s="99"/>
      <c r="H18" s="99"/>
      <c r="I18" s="99"/>
      <c r="J18" s="99"/>
      <c r="K18" s="99"/>
      <c r="L18" s="99" t="s">
        <v>222</v>
      </c>
      <c r="M18" s="99"/>
      <c r="N18" s="99"/>
      <c r="O18" s="99"/>
      <c r="P18" s="99"/>
      <c r="Q18" s="99"/>
      <c r="R18" s="99"/>
      <c r="S18" s="99"/>
      <c r="T18" s="99"/>
      <c r="U18" s="99"/>
      <c r="V18" s="99"/>
      <c r="W18" s="99"/>
      <c r="X18" s="99"/>
      <c r="Y18" s="99"/>
      <c r="Z18" s="99"/>
      <c r="AA18" s="99" t="s">
        <v>222</v>
      </c>
      <c r="AB18" s="99"/>
      <c r="AC18" s="99"/>
      <c r="AD18" s="99"/>
      <c r="AE18" s="99"/>
      <c r="AF18" s="99" t="s">
        <v>222</v>
      </c>
      <c r="AG18" s="99" t="s">
        <v>222</v>
      </c>
      <c r="AH18" s="99"/>
      <c r="AI18" s="99"/>
      <c r="AJ18" s="99" t="s">
        <v>222</v>
      </c>
      <c r="AK18" s="99">
        <f t="shared" si="3"/>
        <v>2.5</v>
      </c>
      <c r="AL18" s="68"/>
      <c r="AM18" s="68"/>
      <c r="AN18" s="68"/>
      <c r="AO18" s="69"/>
    </row>
    <row r="19" spans="1:41" customFormat="1" x14ac:dyDescent="0.25">
      <c r="A19" s="85">
        <v>11</v>
      </c>
      <c r="B19" s="20" t="s">
        <v>342</v>
      </c>
      <c r="C19" s="88">
        <v>11</v>
      </c>
      <c r="D19" s="19" t="s">
        <v>310</v>
      </c>
      <c r="E19" s="18"/>
      <c r="F19" s="99"/>
      <c r="G19" s="99"/>
      <c r="H19" s="99" t="s">
        <v>222</v>
      </c>
      <c r="I19" s="99"/>
      <c r="J19" s="99"/>
      <c r="K19" s="99" t="s">
        <v>223</v>
      </c>
      <c r="L19" s="99" t="s">
        <v>222</v>
      </c>
      <c r="M19" s="99" t="s">
        <v>223</v>
      </c>
      <c r="N19" s="99" t="s">
        <v>223</v>
      </c>
      <c r="O19" s="99" t="s">
        <v>222</v>
      </c>
      <c r="P19" s="99"/>
      <c r="Q19" s="99"/>
      <c r="R19" s="99" t="s">
        <v>223</v>
      </c>
      <c r="S19" s="99" t="s">
        <v>222</v>
      </c>
      <c r="T19" s="99" t="s">
        <v>223</v>
      </c>
      <c r="U19" s="99" t="s">
        <v>222</v>
      </c>
      <c r="V19" s="99" t="s">
        <v>223</v>
      </c>
      <c r="W19" s="99"/>
      <c r="X19" s="99"/>
      <c r="Y19" s="99" t="s">
        <v>223</v>
      </c>
      <c r="Z19" s="99" t="s">
        <v>222</v>
      </c>
      <c r="AA19" s="99"/>
      <c r="AB19" s="99" t="s">
        <v>222</v>
      </c>
      <c r="AC19" s="99" t="s">
        <v>223</v>
      </c>
      <c r="AD19" s="99"/>
      <c r="AE19" s="99"/>
      <c r="AF19" s="99" t="s">
        <v>223</v>
      </c>
      <c r="AG19" s="99" t="s">
        <v>223</v>
      </c>
      <c r="AH19" s="99" t="s">
        <v>222</v>
      </c>
      <c r="AI19" s="99" t="s">
        <v>222</v>
      </c>
      <c r="AJ19" s="99"/>
      <c r="AK19" s="99">
        <f t="shared" si="3"/>
        <v>14.5</v>
      </c>
      <c r="AL19" s="68"/>
      <c r="AM19" s="68"/>
      <c r="AN19" s="68"/>
      <c r="AO19" s="69"/>
    </row>
    <row r="20" spans="1:41" customFormat="1" x14ac:dyDescent="0.25">
      <c r="A20" s="85">
        <v>12</v>
      </c>
      <c r="B20" s="20" t="s">
        <v>341</v>
      </c>
      <c r="C20" s="88">
        <v>12</v>
      </c>
      <c r="D20" s="19" t="s">
        <v>300</v>
      </c>
      <c r="E20" s="18"/>
      <c r="F20" s="99" t="s">
        <v>223</v>
      </c>
      <c r="G20" s="99" t="s">
        <v>223</v>
      </c>
      <c r="H20" s="99" t="s">
        <v>223</v>
      </c>
      <c r="I20" s="99"/>
      <c r="J20" s="99"/>
      <c r="K20" s="99" t="s">
        <v>223</v>
      </c>
      <c r="L20" s="99" t="s">
        <v>223</v>
      </c>
      <c r="M20" s="99" t="s">
        <v>223</v>
      </c>
      <c r="N20" s="99" t="s">
        <v>223</v>
      </c>
      <c r="O20" s="99" t="s">
        <v>223</v>
      </c>
      <c r="P20" s="99"/>
      <c r="Q20" s="99"/>
      <c r="R20" s="99" t="s">
        <v>223</v>
      </c>
      <c r="S20" s="99" t="s">
        <v>223</v>
      </c>
      <c r="T20" s="99" t="s">
        <v>223</v>
      </c>
      <c r="U20" s="99" t="s">
        <v>223</v>
      </c>
      <c r="V20" s="99" t="s">
        <v>223</v>
      </c>
      <c r="W20" s="99"/>
      <c r="X20" s="99"/>
      <c r="Y20" s="99" t="s">
        <v>223</v>
      </c>
      <c r="Z20" s="99" t="s">
        <v>223</v>
      </c>
      <c r="AA20" s="99" t="s">
        <v>223</v>
      </c>
      <c r="AB20" s="99" t="s">
        <v>223</v>
      </c>
      <c r="AC20" s="99" t="s">
        <v>223</v>
      </c>
      <c r="AD20" s="99"/>
      <c r="AE20" s="99"/>
      <c r="AF20" s="99" t="s">
        <v>223</v>
      </c>
      <c r="AG20" s="99" t="s">
        <v>223</v>
      </c>
      <c r="AH20" s="99" t="s">
        <v>223</v>
      </c>
      <c r="AI20" s="99" t="s">
        <v>223</v>
      </c>
      <c r="AJ20" s="99" t="s">
        <v>223</v>
      </c>
      <c r="AK20" s="99">
        <f t="shared" si="3"/>
        <v>23</v>
      </c>
      <c r="AL20" s="68"/>
      <c r="AM20" s="68"/>
      <c r="AN20" s="68"/>
      <c r="AO20" s="69"/>
    </row>
    <row r="21" spans="1:41" customFormat="1" x14ac:dyDescent="0.25">
      <c r="A21" s="85">
        <v>13</v>
      </c>
      <c r="B21" s="20" t="s">
        <v>335</v>
      </c>
      <c r="C21" s="88">
        <v>13</v>
      </c>
      <c r="D21" s="19" t="s">
        <v>301</v>
      </c>
      <c r="E21" s="18"/>
      <c r="F21" s="99" t="s">
        <v>223</v>
      </c>
      <c r="G21" s="99"/>
      <c r="H21" s="99"/>
      <c r="I21" s="99"/>
      <c r="J21" s="99"/>
      <c r="K21" s="99"/>
      <c r="L21" s="99"/>
      <c r="M21" s="99"/>
      <c r="N21" s="99"/>
      <c r="O21" s="99"/>
      <c r="P21" s="99"/>
      <c r="Q21" s="99"/>
      <c r="R21" s="99"/>
      <c r="S21" s="99"/>
      <c r="T21" s="99"/>
      <c r="U21" s="99"/>
      <c r="V21" s="99"/>
      <c r="W21" s="99"/>
      <c r="X21" s="99"/>
      <c r="Y21" s="99"/>
      <c r="Z21" s="99"/>
      <c r="AA21" s="99"/>
      <c r="AB21" s="99"/>
      <c r="AC21" s="99"/>
      <c r="AD21" s="99"/>
      <c r="AE21" s="99"/>
      <c r="AF21" s="99"/>
      <c r="AG21" s="99"/>
      <c r="AH21" s="99"/>
      <c r="AI21" s="99"/>
      <c r="AJ21" s="99"/>
      <c r="AK21" s="99">
        <f t="shared" si="3"/>
        <v>1</v>
      </c>
      <c r="AL21" s="68"/>
      <c r="AM21" s="68"/>
      <c r="AN21" s="68"/>
      <c r="AO21" s="69"/>
    </row>
    <row r="22" spans="1:41" customFormat="1" x14ac:dyDescent="0.25">
      <c r="A22" s="85">
        <v>14</v>
      </c>
      <c r="B22" s="20" t="s">
        <v>341</v>
      </c>
      <c r="C22" s="88">
        <v>14</v>
      </c>
      <c r="D22" s="19" t="s">
        <v>311</v>
      </c>
      <c r="E22" s="18"/>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f t="shared" si="3"/>
        <v>0</v>
      </c>
      <c r="AL22" s="68"/>
      <c r="AM22" s="68"/>
      <c r="AN22" s="68"/>
      <c r="AO22" s="69"/>
    </row>
    <row r="23" spans="1:41" customFormat="1" x14ac:dyDescent="0.25">
      <c r="A23" s="85">
        <v>15</v>
      </c>
      <c r="B23" s="20" t="s">
        <v>343</v>
      </c>
      <c r="C23" s="88">
        <v>15</v>
      </c>
      <c r="D23" s="19" t="s">
        <v>141</v>
      </c>
      <c r="E23" s="18"/>
      <c r="F23" s="99"/>
      <c r="G23" s="99"/>
      <c r="H23" s="99"/>
      <c r="I23" s="99"/>
      <c r="J23" s="99"/>
      <c r="K23" s="99"/>
      <c r="L23" s="99"/>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99">
        <f t="shared" si="3"/>
        <v>0</v>
      </c>
      <c r="AL23" s="68"/>
      <c r="AM23" s="68"/>
      <c r="AN23" s="68"/>
      <c r="AO23" s="69"/>
    </row>
    <row r="24" spans="1:41" customFormat="1" x14ac:dyDescent="0.25">
      <c r="A24" s="85">
        <v>16</v>
      </c>
      <c r="B24" s="20" t="s">
        <v>343</v>
      </c>
      <c r="C24" s="88">
        <v>16</v>
      </c>
      <c r="D24" s="19" t="s">
        <v>142</v>
      </c>
      <c r="E24" s="18"/>
      <c r="F24" s="99"/>
      <c r="G24" s="99"/>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99">
        <f t="shared" si="3"/>
        <v>0</v>
      </c>
      <c r="AL24" s="68"/>
      <c r="AM24" s="68"/>
      <c r="AN24" s="68"/>
      <c r="AO24" s="69"/>
    </row>
    <row r="25" spans="1:41" customFormat="1" x14ac:dyDescent="0.25">
      <c r="A25" s="85">
        <v>17</v>
      </c>
      <c r="B25" s="20" t="s">
        <v>345</v>
      </c>
      <c r="C25" s="88">
        <v>17</v>
      </c>
      <c r="D25" s="19" t="s">
        <v>285</v>
      </c>
      <c r="E25" s="18"/>
      <c r="F25" s="99" t="s">
        <v>223</v>
      </c>
      <c r="G25" s="99" t="s">
        <v>223</v>
      </c>
      <c r="H25" s="99" t="s">
        <v>223</v>
      </c>
      <c r="I25" s="99"/>
      <c r="J25" s="99"/>
      <c r="K25" s="99" t="s">
        <v>223</v>
      </c>
      <c r="L25" s="99" t="s">
        <v>223</v>
      </c>
      <c r="M25" s="99" t="s">
        <v>223</v>
      </c>
      <c r="N25" s="99"/>
      <c r="O25" s="99" t="s">
        <v>223</v>
      </c>
      <c r="P25" s="99"/>
      <c r="Q25" s="99"/>
      <c r="R25" s="99" t="s">
        <v>223</v>
      </c>
      <c r="S25" s="99" t="s">
        <v>223</v>
      </c>
      <c r="T25" s="99" t="s">
        <v>223</v>
      </c>
      <c r="U25" s="99" t="s">
        <v>223</v>
      </c>
      <c r="V25" s="99" t="s">
        <v>223</v>
      </c>
      <c r="W25" s="99"/>
      <c r="X25" s="99"/>
      <c r="Y25" s="99" t="s">
        <v>223</v>
      </c>
      <c r="Z25" s="99" t="s">
        <v>223</v>
      </c>
      <c r="AA25" s="99" t="s">
        <v>222</v>
      </c>
      <c r="AB25" s="99" t="s">
        <v>222</v>
      </c>
      <c r="AC25" s="99" t="s">
        <v>223</v>
      </c>
      <c r="AD25" s="99"/>
      <c r="AE25" s="99"/>
      <c r="AF25" s="99"/>
      <c r="AG25" s="99"/>
      <c r="AH25" s="99"/>
      <c r="AI25" s="99"/>
      <c r="AJ25" s="99"/>
      <c r="AK25" s="99">
        <f t="shared" si="3"/>
        <v>16</v>
      </c>
      <c r="AL25" s="68"/>
      <c r="AM25" s="68"/>
      <c r="AN25" s="68"/>
      <c r="AO25" s="69"/>
    </row>
    <row r="26" spans="1:41" customFormat="1" x14ac:dyDescent="0.25">
      <c r="A26" s="85">
        <v>18</v>
      </c>
      <c r="B26" s="20" t="s">
        <v>338</v>
      </c>
      <c r="C26" s="88">
        <v>18</v>
      </c>
      <c r="D26" s="19" t="s">
        <v>143</v>
      </c>
      <c r="E26" s="18"/>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99">
        <f t="shared" si="3"/>
        <v>0</v>
      </c>
      <c r="AL26" s="68"/>
      <c r="AM26" s="68"/>
      <c r="AN26" s="68"/>
      <c r="AO26" s="69"/>
    </row>
    <row r="27" spans="1:41" customFormat="1" x14ac:dyDescent="0.25">
      <c r="A27" s="85">
        <v>19</v>
      </c>
      <c r="B27" s="20" t="s">
        <v>337</v>
      </c>
      <c r="C27" s="88">
        <v>19</v>
      </c>
      <c r="D27" s="19" t="s">
        <v>309</v>
      </c>
      <c r="E27" s="18"/>
      <c r="F27" s="99" t="s">
        <v>223</v>
      </c>
      <c r="G27" s="99" t="s">
        <v>223</v>
      </c>
      <c r="H27" s="99" t="s">
        <v>223</v>
      </c>
      <c r="I27" s="99" t="s">
        <v>222</v>
      </c>
      <c r="J27" s="99"/>
      <c r="K27" s="99" t="s">
        <v>223</v>
      </c>
      <c r="L27" s="99"/>
      <c r="M27" s="99"/>
      <c r="N27" s="99" t="s">
        <v>223</v>
      </c>
      <c r="O27" s="99" t="s">
        <v>223</v>
      </c>
      <c r="P27" s="99"/>
      <c r="Q27" s="99"/>
      <c r="R27" s="99" t="s">
        <v>223</v>
      </c>
      <c r="S27" s="99" t="s">
        <v>223</v>
      </c>
      <c r="T27" s="99" t="s">
        <v>222</v>
      </c>
      <c r="U27" s="99" t="s">
        <v>223</v>
      </c>
      <c r="V27" s="99" t="s">
        <v>223</v>
      </c>
      <c r="W27" s="99"/>
      <c r="X27" s="99"/>
      <c r="Y27" s="99" t="s">
        <v>222</v>
      </c>
      <c r="Z27" s="99" t="s">
        <v>223</v>
      </c>
      <c r="AA27" s="99" t="s">
        <v>223</v>
      </c>
      <c r="AB27" s="99" t="s">
        <v>223</v>
      </c>
      <c r="AC27" s="99"/>
      <c r="AD27" s="99"/>
      <c r="AE27" s="99"/>
      <c r="AF27" s="99" t="s">
        <v>223</v>
      </c>
      <c r="AG27" s="99"/>
      <c r="AH27" s="99"/>
      <c r="AI27" s="99"/>
      <c r="AJ27" s="99"/>
      <c r="AK27" s="99">
        <f t="shared" si="3"/>
        <v>15.5</v>
      </c>
      <c r="AL27" s="68"/>
      <c r="AM27" s="68"/>
      <c r="AN27" s="68"/>
      <c r="AO27" s="69"/>
    </row>
    <row r="28" spans="1:41" customFormat="1" x14ac:dyDescent="0.25">
      <c r="A28" s="85">
        <v>20</v>
      </c>
      <c r="B28" s="20" t="s">
        <v>339</v>
      </c>
      <c r="C28" s="88">
        <v>20</v>
      </c>
      <c r="D28" s="19" t="s">
        <v>189</v>
      </c>
      <c r="E28" s="18"/>
      <c r="F28" s="99" t="s">
        <v>222</v>
      </c>
      <c r="G28" s="99"/>
      <c r="H28" s="99"/>
      <c r="I28" s="99"/>
      <c r="J28" s="99"/>
      <c r="K28" s="99"/>
      <c r="L28" s="99" t="s">
        <v>222</v>
      </c>
      <c r="M28" s="99"/>
      <c r="N28" s="99"/>
      <c r="O28" s="99"/>
      <c r="P28" s="99"/>
      <c r="Q28" s="99"/>
      <c r="R28" s="99"/>
      <c r="S28" s="99"/>
      <c r="T28" s="99"/>
      <c r="U28" s="99" t="s">
        <v>222</v>
      </c>
      <c r="V28" s="99"/>
      <c r="W28" s="99"/>
      <c r="X28" s="99"/>
      <c r="Y28" s="99"/>
      <c r="Z28" s="99"/>
      <c r="AA28" s="99"/>
      <c r="AB28" s="99"/>
      <c r="AC28" s="99"/>
      <c r="AD28" s="99"/>
      <c r="AE28" s="99"/>
      <c r="AF28" s="99"/>
      <c r="AG28" s="99"/>
      <c r="AH28" s="99"/>
      <c r="AI28" s="99"/>
      <c r="AJ28" s="99"/>
      <c r="AK28" s="99">
        <f t="shared" si="3"/>
        <v>1.5</v>
      </c>
      <c r="AL28" s="68"/>
      <c r="AM28" s="68"/>
      <c r="AN28" s="68"/>
      <c r="AO28" s="69"/>
    </row>
    <row r="29" spans="1:41" customFormat="1" x14ac:dyDescent="0.25">
      <c r="A29" s="85">
        <v>21</v>
      </c>
      <c r="B29" s="20" t="s">
        <v>336</v>
      </c>
      <c r="C29" s="88">
        <v>21</v>
      </c>
      <c r="D29" s="19" t="s">
        <v>102</v>
      </c>
      <c r="E29" s="18"/>
      <c r="F29" s="99" t="s">
        <v>223</v>
      </c>
      <c r="G29" s="99" t="s">
        <v>223</v>
      </c>
      <c r="H29" s="99" t="s">
        <v>223</v>
      </c>
      <c r="I29" s="99"/>
      <c r="J29" s="99"/>
      <c r="K29" s="99" t="s">
        <v>223</v>
      </c>
      <c r="L29" s="99" t="s">
        <v>223</v>
      </c>
      <c r="M29" s="99" t="s">
        <v>223</v>
      </c>
      <c r="N29" s="99" t="s">
        <v>223</v>
      </c>
      <c r="O29" s="99" t="s">
        <v>223</v>
      </c>
      <c r="P29" s="99"/>
      <c r="Q29" s="99"/>
      <c r="R29" s="99" t="s">
        <v>223</v>
      </c>
      <c r="S29" s="99" t="s">
        <v>223</v>
      </c>
      <c r="T29" s="99" t="s">
        <v>223</v>
      </c>
      <c r="U29" s="99" t="s">
        <v>223</v>
      </c>
      <c r="V29" s="99" t="s">
        <v>223</v>
      </c>
      <c r="W29" s="99"/>
      <c r="X29" s="99"/>
      <c r="Y29" s="99" t="s">
        <v>223</v>
      </c>
      <c r="Z29" s="99" t="s">
        <v>223</v>
      </c>
      <c r="AA29" s="99" t="s">
        <v>223</v>
      </c>
      <c r="AB29" s="99" t="s">
        <v>223</v>
      </c>
      <c r="AC29" s="99" t="s">
        <v>223</v>
      </c>
      <c r="AD29" s="99"/>
      <c r="AE29" s="99"/>
      <c r="AF29" s="99" t="s">
        <v>223</v>
      </c>
      <c r="AG29" s="99"/>
      <c r="AH29" s="99"/>
      <c r="AI29" s="99"/>
      <c r="AJ29" s="99"/>
      <c r="AK29" s="99">
        <f t="shared" si="3"/>
        <v>19</v>
      </c>
      <c r="AL29" s="68"/>
      <c r="AM29" s="68"/>
      <c r="AN29" s="68"/>
      <c r="AO29" s="69"/>
    </row>
    <row r="30" spans="1:41" customFormat="1" x14ac:dyDescent="0.25">
      <c r="A30" s="85">
        <v>22</v>
      </c>
      <c r="B30" s="20" t="s">
        <v>338</v>
      </c>
      <c r="C30" s="88">
        <v>22</v>
      </c>
      <c r="D30" s="19" t="s">
        <v>144</v>
      </c>
      <c r="E30" s="18"/>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99">
        <f t="shared" si="3"/>
        <v>0</v>
      </c>
      <c r="AL30" s="68"/>
      <c r="AM30" s="68"/>
      <c r="AN30" s="68"/>
      <c r="AO30" s="69"/>
    </row>
    <row r="31" spans="1:41" customFormat="1" x14ac:dyDescent="0.25">
      <c r="A31" s="85">
        <v>23</v>
      </c>
      <c r="B31" s="20" t="s">
        <v>338</v>
      </c>
      <c r="C31" s="88">
        <v>23</v>
      </c>
      <c r="D31" s="19" t="s">
        <v>145</v>
      </c>
      <c r="E31" s="18"/>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99">
        <f t="shared" si="3"/>
        <v>0</v>
      </c>
      <c r="AL31" s="68"/>
      <c r="AM31" s="68"/>
      <c r="AN31" s="68"/>
      <c r="AO31" s="69"/>
    </row>
    <row r="32" spans="1:41" customFormat="1" x14ac:dyDescent="0.25">
      <c r="A32" s="85">
        <v>24</v>
      </c>
      <c r="B32" s="20" t="s">
        <v>334</v>
      </c>
      <c r="C32" s="88">
        <v>24</v>
      </c>
      <c r="D32" s="21" t="s">
        <v>178</v>
      </c>
      <c r="E32" s="18"/>
      <c r="F32" s="99"/>
      <c r="G32" s="99"/>
      <c r="H32" s="99" t="s">
        <v>223</v>
      </c>
      <c r="I32" s="99"/>
      <c r="J32" s="99"/>
      <c r="K32" s="99" t="s">
        <v>223</v>
      </c>
      <c r="L32" s="99" t="s">
        <v>223</v>
      </c>
      <c r="M32" s="99" t="s">
        <v>223</v>
      </c>
      <c r="N32" s="99"/>
      <c r="O32" s="99"/>
      <c r="P32" s="99"/>
      <c r="Q32" s="99"/>
      <c r="R32" s="99"/>
      <c r="S32" s="99"/>
      <c r="T32" s="99" t="s">
        <v>222</v>
      </c>
      <c r="U32" s="99" t="s">
        <v>222</v>
      </c>
      <c r="V32" s="99"/>
      <c r="W32" s="99"/>
      <c r="X32" s="99"/>
      <c r="Y32" s="99"/>
      <c r="Z32" s="99" t="s">
        <v>222</v>
      </c>
      <c r="AA32" s="99" t="s">
        <v>223</v>
      </c>
      <c r="AB32" s="99" t="s">
        <v>223</v>
      </c>
      <c r="AC32" s="99" t="s">
        <v>222</v>
      </c>
      <c r="AD32" s="99"/>
      <c r="AE32" s="99"/>
      <c r="AF32" s="99" t="s">
        <v>222</v>
      </c>
      <c r="AG32" s="99" t="s">
        <v>222</v>
      </c>
      <c r="AH32" s="99" t="s">
        <v>222</v>
      </c>
      <c r="AI32" s="99" t="s">
        <v>222</v>
      </c>
      <c r="AJ32" s="99"/>
      <c r="AK32" s="99">
        <f t="shared" si="3"/>
        <v>10</v>
      </c>
      <c r="AL32" s="68"/>
      <c r="AM32" s="68"/>
      <c r="AN32" s="68"/>
      <c r="AO32" s="69"/>
    </row>
    <row r="33" spans="1:41" customFormat="1" x14ac:dyDescent="0.25">
      <c r="A33" s="85">
        <v>25</v>
      </c>
      <c r="B33" s="20" t="s">
        <v>336</v>
      </c>
      <c r="C33" s="88">
        <v>25</v>
      </c>
      <c r="D33" s="19" t="s">
        <v>153</v>
      </c>
      <c r="E33" s="18"/>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99"/>
      <c r="AI33" s="99"/>
      <c r="AJ33" s="99"/>
      <c r="AK33" s="99">
        <f t="shared" si="3"/>
        <v>0</v>
      </c>
      <c r="AL33" s="68"/>
      <c r="AM33" s="68"/>
      <c r="AN33" s="68"/>
      <c r="AO33" s="69"/>
    </row>
    <row r="34" spans="1:41" customFormat="1" x14ac:dyDescent="0.25">
      <c r="A34" s="85">
        <v>26</v>
      </c>
      <c r="B34" s="20" t="s">
        <v>344</v>
      </c>
      <c r="C34" s="88">
        <v>26</v>
      </c>
      <c r="D34" s="19" t="s">
        <v>105</v>
      </c>
      <c r="E34" s="18"/>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c r="AH34" s="99"/>
      <c r="AI34" s="99"/>
      <c r="AJ34" s="99"/>
      <c r="AK34" s="99">
        <f t="shared" si="3"/>
        <v>0</v>
      </c>
      <c r="AL34" s="68"/>
      <c r="AM34" s="68"/>
      <c r="AN34" s="68"/>
      <c r="AO34" s="69"/>
    </row>
    <row r="35" spans="1:41" customFormat="1" x14ac:dyDescent="0.25">
      <c r="A35" s="85">
        <v>27</v>
      </c>
      <c r="B35" s="20" t="s">
        <v>344</v>
      </c>
      <c r="C35" s="88">
        <v>27</v>
      </c>
      <c r="D35" s="19" t="s">
        <v>146</v>
      </c>
      <c r="E35" s="18"/>
      <c r="F35" s="99" t="s">
        <v>222</v>
      </c>
      <c r="G35" s="99" t="s">
        <v>222</v>
      </c>
      <c r="H35" s="99" t="s">
        <v>223</v>
      </c>
      <c r="I35" s="99"/>
      <c r="J35" s="99"/>
      <c r="K35" s="99" t="s">
        <v>223</v>
      </c>
      <c r="L35" s="99" t="s">
        <v>222</v>
      </c>
      <c r="M35" s="99" t="s">
        <v>223</v>
      </c>
      <c r="N35" s="99" t="s">
        <v>222</v>
      </c>
      <c r="O35" s="99"/>
      <c r="P35" s="99"/>
      <c r="Q35" s="99"/>
      <c r="R35" s="99" t="s">
        <v>222</v>
      </c>
      <c r="S35" s="99" t="s">
        <v>223</v>
      </c>
      <c r="T35" s="99" t="s">
        <v>223</v>
      </c>
      <c r="U35" s="99" t="s">
        <v>222</v>
      </c>
      <c r="V35" s="99" t="s">
        <v>223</v>
      </c>
      <c r="W35" s="99"/>
      <c r="X35" s="99"/>
      <c r="Y35" s="99" t="s">
        <v>223</v>
      </c>
      <c r="Z35" s="99" t="s">
        <v>223</v>
      </c>
      <c r="AA35" s="99" t="s">
        <v>223</v>
      </c>
      <c r="AB35" s="99"/>
      <c r="AC35" s="99" t="s">
        <v>223</v>
      </c>
      <c r="AD35" s="99" t="s">
        <v>222</v>
      </c>
      <c r="AE35" s="99" t="s">
        <v>222</v>
      </c>
      <c r="AF35" s="99" t="s">
        <v>223</v>
      </c>
      <c r="AG35" s="99" t="s">
        <v>223</v>
      </c>
      <c r="AH35" s="99" t="s">
        <v>223</v>
      </c>
      <c r="AI35" s="99"/>
      <c r="AJ35" s="99" t="s">
        <v>222</v>
      </c>
      <c r="AK35" s="99">
        <f t="shared" si="3"/>
        <v>17.5</v>
      </c>
      <c r="AL35" s="68"/>
      <c r="AM35" s="68"/>
      <c r="AN35" s="68"/>
      <c r="AO35" s="69"/>
    </row>
    <row r="36" spans="1:41" customFormat="1" x14ac:dyDescent="0.25">
      <c r="A36" s="85">
        <v>28</v>
      </c>
      <c r="B36" s="20" t="s">
        <v>344</v>
      </c>
      <c r="C36" s="88">
        <v>28</v>
      </c>
      <c r="D36" s="19" t="s">
        <v>106</v>
      </c>
      <c r="E36" s="18"/>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c r="AI36" s="99"/>
      <c r="AJ36" s="99"/>
      <c r="AK36" s="99">
        <f t="shared" si="3"/>
        <v>0</v>
      </c>
      <c r="AL36" s="68"/>
      <c r="AM36" s="68"/>
      <c r="AN36" s="68"/>
      <c r="AO36" s="69"/>
    </row>
    <row r="37" spans="1:41" customFormat="1" x14ac:dyDescent="0.25">
      <c r="A37" s="85">
        <v>29</v>
      </c>
      <c r="B37" s="20" t="s">
        <v>344</v>
      </c>
      <c r="C37" s="88">
        <v>29</v>
      </c>
      <c r="D37" s="19" t="s">
        <v>147</v>
      </c>
      <c r="E37" s="18"/>
      <c r="F37" s="99" t="s">
        <v>222</v>
      </c>
      <c r="G37" s="99" t="s">
        <v>223</v>
      </c>
      <c r="H37" s="99" t="s">
        <v>222</v>
      </c>
      <c r="I37" s="99"/>
      <c r="J37" s="99"/>
      <c r="K37" s="99"/>
      <c r="L37" s="99" t="s">
        <v>223</v>
      </c>
      <c r="M37" s="99" t="s">
        <v>222</v>
      </c>
      <c r="N37" s="99" t="s">
        <v>223</v>
      </c>
      <c r="O37" s="99" t="s">
        <v>223</v>
      </c>
      <c r="P37" s="99"/>
      <c r="Q37" s="99"/>
      <c r="R37" s="99"/>
      <c r="S37" s="99" t="s">
        <v>223</v>
      </c>
      <c r="T37" s="99" t="s">
        <v>222</v>
      </c>
      <c r="U37" s="99" t="s">
        <v>223</v>
      </c>
      <c r="V37" s="99" t="s">
        <v>223</v>
      </c>
      <c r="W37" s="99"/>
      <c r="X37" s="99"/>
      <c r="Y37" s="99"/>
      <c r="Z37" s="99"/>
      <c r="AA37" s="99" t="s">
        <v>222</v>
      </c>
      <c r="AB37" s="99" t="s">
        <v>223</v>
      </c>
      <c r="AC37" s="99"/>
      <c r="AD37" s="99"/>
      <c r="AE37" s="99"/>
      <c r="AF37" s="99"/>
      <c r="AG37" s="99" t="s">
        <v>222</v>
      </c>
      <c r="AH37" s="99"/>
      <c r="AI37" s="99"/>
      <c r="AJ37" s="99"/>
      <c r="AK37" s="99">
        <f t="shared" si="3"/>
        <v>11</v>
      </c>
      <c r="AL37" s="68"/>
      <c r="AM37" s="68"/>
      <c r="AN37" s="68"/>
      <c r="AO37" s="69"/>
    </row>
    <row r="38" spans="1:41" customFormat="1" x14ac:dyDescent="0.25">
      <c r="A38" s="85">
        <v>30</v>
      </c>
      <c r="B38" s="20" t="s">
        <v>342</v>
      </c>
      <c r="C38" s="88">
        <v>30</v>
      </c>
      <c r="D38" s="21" t="s">
        <v>124</v>
      </c>
      <c r="E38" s="18"/>
      <c r="F38" s="99" t="s">
        <v>223</v>
      </c>
      <c r="G38" s="99" t="s">
        <v>223</v>
      </c>
      <c r="H38" s="99" t="s">
        <v>223</v>
      </c>
      <c r="I38" s="99"/>
      <c r="J38" s="99"/>
      <c r="K38" s="99" t="s">
        <v>223</v>
      </c>
      <c r="L38" s="99" t="s">
        <v>223</v>
      </c>
      <c r="M38" s="99" t="s">
        <v>223</v>
      </c>
      <c r="N38" s="99" t="s">
        <v>223</v>
      </c>
      <c r="O38" s="99" t="s">
        <v>222</v>
      </c>
      <c r="P38" s="99"/>
      <c r="Q38" s="99"/>
      <c r="R38" s="99" t="s">
        <v>222</v>
      </c>
      <c r="S38" s="99" t="s">
        <v>223</v>
      </c>
      <c r="T38" s="99"/>
      <c r="U38" s="99"/>
      <c r="V38" s="99"/>
      <c r="W38" s="99"/>
      <c r="X38" s="99"/>
      <c r="Y38" s="99" t="s">
        <v>223</v>
      </c>
      <c r="Z38" s="99" t="s">
        <v>223</v>
      </c>
      <c r="AA38" s="99" t="s">
        <v>222</v>
      </c>
      <c r="AB38" s="99" t="s">
        <v>223</v>
      </c>
      <c r="AC38" s="99"/>
      <c r="AD38" s="99"/>
      <c r="AE38" s="99"/>
      <c r="AF38" s="99" t="s">
        <v>222</v>
      </c>
      <c r="AG38" s="99"/>
      <c r="AH38" s="99" t="s">
        <v>222</v>
      </c>
      <c r="AI38" s="99"/>
      <c r="AJ38" s="99"/>
      <c r="AK38" s="99">
        <f t="shared" si="3"/>
        <v>13.5</v>
      </c>
      <c r="AL38" s="68"/>
      <c r="AM38" s="68"/>
      <c r="AN38" s="68"/>
      <c r="AO38" s="69"/>
    </row>
    <row r="39" spans="1:41" customFormat="1" x14ac:dyDescent="0.25">
      <c r="A39" s="85">
        <v>31</v>
      </c>
      <c r="B39" s="20" t="s">
        <v>334</v>
      </c>
      <c r="C39" s="88">
        <v>31</v>
      </c>
      <c r="D39" s="21" t="s">
        <v>134</v>
      </c>
      <c r="E39" s="18"/>
      <c r="F39" s="99" t="s">
        <v>222</v>
      </c>
      <c r="G39" s="99" t="s">
        <v>223</v>
      </c>
      <c r="H39" s="99" t="s">
        <v>223</v>
      </c>
      <c r="I39" s="99"/>
      <c r="J39" s="99"/>
      <c r="K39" s="99" t="s">
        <v>222</v>
      </c>
      <c r="L39" s="99" t="s">
        <v>223</v>
      </c>
      <c r="M39" s="99"/>
      <c r="N39" s="99"/>
      <c r="O39" s="99" t="s">
        <v>223</v>
      </c>
      <c r="P39" s="99"/>
      <c r="Q39" s="99" t="s">
        <v>222</v>
      </c>
      <c r="R39" s="99" t="s">
        <v>222</v>
      </c>
      <c r="S39" s="99" t="s">
        <v>222</v>
      </c>
      <c r="T39" s="99"/>
      <c r="U39" s="99" t="s">
        <v>222</v>
      </c>
      <c r="V39" s="99"/>
      <c r="W39" s="99"/>
      <c r="X39" s="99"/>
      <c r="Y39" s="99" t="s">
        <v>222</v>
      </c>
      <c r="Z39" s="99"/>
      <c r="AA39" s="99"/>
      <c r="AB39" s="99"/>
      <c r="AC39" s="99"/>
      <c r="AD39" s="99"/>
      <c r="AE39" s="99"/>
      <c r="AF39" s="99" t="s">
        <v>222</v>
      </c>
      <c r="AG39" s="99"/>
      <c r="AH39" s="99"/>
      <c r="AI39" s="99"/>
      <c r="AJ39" s="99"/>
      <c r="AK39" s="99">
        <f t="shared" si="3"/>
        <v>8</v>
      </c>
      <c r="AL39" s="68"/>
      <c r="AM39" s="68"/>
      <c r="AN39" s="68"/>
      <c r="AO39" s="69"/>
    </row>
    <row r="40" spans="1:41" customFormat="1" x14ac:dyDescent="0.25">
      <c r="A40" s="85">
        <v>32</v>
      </c>
      <c r="B40" s="20" t="s">
        <v>345</v>
      </c>
      <c r="C40" s="88">
        <v>32</v>
      </c>
      <c r="D40" s="19" t="s">
        <v>148</v>
      </c>
      <c r="E40" s="18"/>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f t="shared" si="3"/>
        <v>0</v>
      </c>
      <c r="AL40" s="68"/>
      <c r="AM40" s="68"/>
      <c r="AN40" s="68"/>
      <c r="AO40" s="69"/>
    </row>
    <row r="41" spans="1:41" customFormat="1" x14ac:dyDescent="0.25">
      <c r="A41" s="85">
        <v>33</v>
      </c>
      <c r="B41" s="20" t="s">
        <v>345</v>
      </c>
      <c r="C41" s="88">
        <v>33</v>
      </c>
      <c r="D41" s="19" t="s">
        <v>149</v>
      </c>
      <c r="E41" s="18"/>
      <c r="F41" s="99"/>
      <c r="G41" s="99" t="s">
        <v>223</v>
      </c>
      <c r="H41" s="99" t="s">
        <v>223</v>
      </c>
      <c r="I41" s="99"/>
      <c r="J41" s="99"/>
      <c r="K41" s="99"/>
      <c r="L41" s="99"/>
      <c r="M41" s="99" t="s">
        <v>222</v>
      </c>
      <c r="N41" s="99"/>
      <c r="O41" s="99"/>
      <c r="P41" s="99"/>
      <c r="Q41" s="99"/>
      <c r="R41" s="99" t="s">
        <v>223</v>
      </c>
      <c r="S41" s="99" t="s">
        <v>223</v>
      </c>
      <c r="T41" s="99"/>
      <c r="U41" s="99" t="s">
        <v>223</v>
      </c>
      <c r="V41" s="99" t="s">
        <v>223</v>
      </c>
      <c r="W41" s="99"/>
      <c r="X41" s="99"/>
      <c r="Y41" s="99" t="s">
        <v>223</v>
      </c>
      <c r="Z41" s="99" t="s">
        <v>222</v>
      </c>
      <c r="AA41" s="99" t="s">
        <v>223</v>
      </c>
      <c r="AB41" s="99"/>
      <c r="AC41" s="99"/>
      <c r="AD41" s="99"/>
      <c r="AE41" s="99"/>
      <c r="AF41" s="99"/>
      <c r="AG41" s="99"/>
      <c r="AH41" s="99"/>
      <c r="AI41" s="99" t="s">
        <v>222</v>
      </c>
      <c r="AJ41" s="99"/>
      <c r="AK41" s="99">
        <f t="shared" ref="AK41:AK72" si="4">COUNTIF(F41:AJ41,"x")+COUNTIF(F41:AJ41,"x/2")*0.5</f>
        <v>9.5</v>
      </c>
      <c r="AL41" s="68"/>
      <c r="AM41" s="68"/>
      <c r="AN41" s="68"/>
      <c r="AO41" s="69"/>
    </row>
    <row r="42" spans="1:41" customFormat="1" x14ac:dyDescent="0.25">
      <c r="A42" s="85">
        <v>34</v>
      </c>
      <c r="B42" s="20" t="s">
        <v>345</v>
      </c>
      <c r="C42" s="88">
        <v>34</v>
      </c>
      <c r="D42" s="19" t="s">
        <v>107</v>
      </c>
      <c r="E42" s="18"/>
      <c r="F42" s="99" t="s">
        <v>223</v>
      </c>
      <c r="G42" s="99" t="s">
        <v>222</v>
      </c>
      <c r="H42" s="99" t="s">
        <v>223</v>
      </c>
      <c r="I42" s="99"/>
      <c r="J42" s="99"/>
      <c r="K42" s="99" t="s">
        <v>223</v>
      </c>
      <c r="L42" s="99" t="s">
        <v>223</v>
      </c>
      <c r="M42" s="99"/>
      <c r="N42" s="99" t="s">
        <v>223</v>
      </c>
      <c r="O42" s="99" t="s">
        <v>223</v>
      </c>
      <c r="P42" s="99"/>
      <c r="Q42" s="99"/>
      <c r="R42" s="99" t="s">
        <v>223</v>
      </c>
      <c r="S42" s="99" t="s">
        <v>223</v>
      </c>
      <c r="T42" s="99" t="s">
        <v>223</v>
      </c>
      <c r="U42" s="99"/>
      <c r="V42" s="99" t="s">
        <v>223</v>
      </c>
      <c r="W42" s="99"/>
      <c r="X42" s="99"/>
      <c r="Y42" s="99" t="s">
        <v>223</v>
      </c>
      <c r="Z42" s="99" t="s">
        <v>223</v>
      </c>
      <c r="AA42" s="99"/>
      <c r="AB42" s="99" t="s">
        <v>223</v>
      </c>
      <c r="AC42" s="99" t="s">
        <v>222</v>
      </c>
      <c r="AD42" s="99"/>
      <c r="AE42" s="99"/>
      <c r="AF42" s="99" t="s">
        <v>223</v>
      </c>
      <c r="AG42" s="99" t="s">
        <v>222</v>
      </c>
      <c r="AH42" s="99" t="s">
        <v>223</v>
      </c>
      <c r="AI42" s="99"/>
      <c r="AJ42" s="99"/>
      <c r="AK42" s="99">
        <f t="shared" si="4"/>
        <v>16.5</v>
      </c>
      <c r="AL42" s="68"/>
      <c r="AM42" s="68"/>
      <c r="AN42" s="68"/>
      <c r="AO42" s="69"/>
    </row>
    <row r="43" spans="1:41" customFormat="1" x14ac:dyDescent="0.25">
      <c r="A43" s="85">
        <v>35</v>
      </c>
      <c r="B43" s="20" t="s">
        <v>340</v>
      </c>
      <c r="C43" s="88">
        <v>35</v>
      </c>
      <c r="D43" s="19" t="s">
        <v>150</v>
      </c>
      <c r="E43" s="18"/>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99">
        <f t="shared" si="4"/>
        <v>0</v>
      </c>
      <c r="AL43" s="68"/>
      <c r="AM43" s="68"/>
      <c r="AN43" s="68"/>
      <c r="AO43" s="69"/>
    </row>
    <row r="44" spans="1:41" customFormat="1" x14ac:dyDescent="0.25">
      <c r="A44" s="85">
        <v>36</v>
      </c>
      <c r="B44" s="20" t="s">
        <v>340</v>
      </c>
      <c r="C44" s="88">
        <v>36</v>
      </c>
      <c r="D44" s="19" t="s">
        <v>151</v>
      </c>
      <c r="E44" s="18"/>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f t="shared" si="4"/>
        <v>0</v>
      </c>
      <c r="AL44" s="68"/>
      <c r="AM44" s="68"/>
      <c r="AN44" s="68"/>
      <c r="AO44" s="69"/>
    </row>
    <row r="45" spans="1:41" customFormat="1" x14ac:dyDescent="0.25">
      <c r="A45" s="85">
        <v>37</v>
      </c>
      <c r="B45" s="20" t="s">
        <v>345</v>
      </c>
      <c r="C45" s="88">
        <v>37</v>
      </c>
      <c r="D45" s="19" t="s">
        <v>154</v>
      </c>
      <c r="E45" s="18"/>
      <c r="F45" s="99" t="s">
        <v>223</v>
      </c>
      <c r="G45" s="99" t="s">
        <v>222</v>
      </c>
      <c r="H45" s="99" t="s">
        <v>223</v>
      </c>
      <c r="I45" s="99"/>
      <c r="J45" s="99"/>
      <c r="K45" s="99"/>
      <c r="L45" s="99"/>
      <c r="M45" s="99" t="s">
        <v>222</v>
      </c>
      <c r="N45" s="99" t="s">
        <v>222</v>
      </c>
      <c r="O45" s="99"/>
      <c r="P45" s="99"/>
      <c r="Q45" s="99"/>
      <c r="R45" s="99"/>
      <c r="S45" s="99" t="s">
        <v>222</v>
      </c>
      <c r="T45" s="99"/>
      <c r="U45" s="99"/>
      <c r="V45" s="99" t="s">
        <v>222</v>
      </c>
      <c r="W45" s="99"/>
      <c r="X45" s="99"/>
      <c r="Y45" s="99"/>
      <c r="Z45" s="99" t="s">
        <v>222</v>
      </c>
      <c r="AA45" s="99" t="s">
        <v>222</v>
      </c>
      <c r="AB45" s="99" t="s">
        <v>222</v>
      </c>
      <c r="AC45" s="99"/>
      <c r="AD45" s="99"/>
      <c r="AE45" s="99"/>
      <c r="AF45" s="99"/>
      <c r="AG45" s="99"/>
      <c r="AH45" s="99"/>
      <c r="AI45" s="99"/>
      <c r="AJ45" s="99"/>
      <c r="AK45" s="99">
        <f t="shared" si="4"/>
        <v>6</v>
      </c>
      <c r="AL45" s="68"/>
      <c r="AM45" s="68"/>
      <c r="AN45" s="68"/>
      <c r="AO45" s="69"/>
    </row>
    <row r="46" spans="1:41" customFormat="1" x14ac:dyDescent="0.25">
      <c r="A46" s="85">
        <v>38</v>
      </c>
      <c r="B46" s="20" t="s">
        <v>336</v>
      </c>
      <c r="C46" s="88">
        <v>38</v>
      </c>
      <c r="D46" s="19" t="s">
        <v>108</v>
      </c>
      <c r="E46" s="18"/>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99">
        <f t="shared" si="4"/>
        <v>0</v>
      </c>
      <c r="AL46" s="68"/>
      <c r="AM46" s="68"/>
      <c r="AN46" s="68"/>
      <c r="AO46" s="69"/>
    </row>
    <row r="47" spans="1:41" customFormat="1" x14ac:dyDescent="0.25">
      <c r="A47" s="85">
        <v>39</v>
      </c>
      <c r="B47" s="20" t="s">
        <v>344</v>
      </c>
      <c r="C47" s="88">
        <v>39</v>
      </c>
      <c r="D47" s="19" t="s">
        <v>104</v>
      </c>
      <c r="E47" s="18"/>
      <c r="F47" s="99"/>
      <c r="G47" s="99"/>
      <c r="H47" s="99"/>
      <c r="I47" s="99"/>
      <c r="J47" s="99"/>
      <c r="K47" s="99"/>
      <c r="L47" s="99"/>
      <c r="M47" s="99"/>
      <c r="N47" s="99"/>
      <c r="O47" s="99"/>
      <c r="P47" s="99"/>
      <c r="Q47" s="99"/>
      <c r="R47" s="99"/>
      <c r="S47" s="99"/>
      <c r="T47" s="99"/>
      <c r="U47" s="99"/>
      <c r="V47" s="99"/>
      <c r="W47" s="99"/>
      <c r="X47" s="99"/>
      <c r="Y47" s="99"/>
      <c r="Z47" s="99"/>
      <c r="AA47" s="99"/>
      <c r="AB47" s="99"/>
      <c r="AC47" s="99"/>
      <c r="AD47" s="99"/>
      <c r="AE47" s="99"/>
      <c r="AF47" s="99"/>
      <c r="AG47" s="99"/>
      <c r="AH47" s="99"/>
      <c r="AI47" s="99"/>
      <c r="AJ47" s="99"/>
      <c r="AK47" s="99">
        <f t="shared" si="4"/>
        <v>0</v>
      </c>
      <c r="AL47" s="68"/>
      <c r="AM47" s="68"/>
      <c r="AN47" s="68"/>
      <c r="AO47" s="69"/>
    </row>
    <row r="48" spans="1:41" customFormat="1" x14ac:dyDescent="0.25">
      <c r="A48" s="85">
        <v>40</v>
      </c>
      <c r="B48" s="20" t="s">
        <v>340</v>
      </c>
      <c r="C48" s="88">
        <v>40</v>
      </c>
      <c r="D48" s="19" t="s">
        <v>152</v>
      </c>
      <c r="E48" s="18"/>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H48" s="99"/>
      <c r="AI48" s="99"/>
      <c r="AJ48" s="99"/>
      <c r="AK48" s="99">
        <f t="shared" si="4"/>
        <v>0</v>
      </c>
      <c r="AL48" s="68"/>
      <c r="AM48" s="68"/>
      <c r="AN48" s="68"/>
      <c r="AO48" s="69"/>
    </row>
    <row r="49" spans="1:41" customFormat="1" x14ac:dyDescent="0.25">
      <c r="A49" s="85">
        <v>41</v>
      </c>
      <c r="B49" s="20" t="s">
        <v>336</v>
      </c>
      <c r="C49" s="88">
        <v>41</v>
      </c>
      <c r="D49" s="19" t="s">
        <v>155</v>
      </c>
      <c r="E49" s="18"/>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99">
        <f t="shared" si="4"/>
        <v>0</v>
      </c>
      <c r="AL49" s="68"/>
      <c r="AM49" s="68"/>
      <c r="AN49" s="68"/>
      <c r="AO49" s="69"/>
    </row>
    <row r="50" spans="1:41" customFormat="1" x14ac:dyDescent="0.25">
      <c r="A50" s="85">
        <v>42</v>
      </c>
      <c r="B50" s="20" t="s">
        <v>336</v>
      </c>
      <c r="C50" s="88">
        <v>42</v>
      </c>
      <c r="D50" s="19" t="s">
        <v>109</v>
      </c>
      <c r="E50" s="18"/>
      <c r="F50" s="99" t="s">
        <v>223</v>
      </c>
      <c r="G50" s="99"/>
      <c r="H50" s="99" t="s">
        <v>223</v>
      </c>
      <c r="I50" s="99"/>
      <c r="J50" s="99"/>
      <c r="K50" s="99" t="s">
        <v>223</v>
      </c>
      <c r="L50" s="99" t="s">
        <v>223</v>
      </c>
      <c r="M50" s="99" t="s">
        <v>222</v>
      </c>
      <c r="N50" s="99"/>
      <c r="O50" s="99" t="s">
        <v>222</v>
      </c>
      <c r="P50" s="99"/>
      <c r="Q50" s="99"/>
      <c r="R50" s="99" t="s">
        <v>223</v>
      </c>
      <c r="S50" s="99" t="s">
        <v>222</v>
      </c>
      <c r="T50" s="99" t="s">
        <v>223</v>
      </c>
      <c r="U50" s="99" t="s">
        <v>222</v>
      </c>
      <c r="V50" s="99"/>
      <c r="W50" s="99"/>
      <c r="X50" s="99"/>
      <c r="Y50" s="99"/>
      <c r="Z50" s="99"/>
      <c r="AA50" s="99"/>
      <c r="AB50" s="99"/>
      <c r="AC50" s="99"/>
      <c r="AD50" s="99"/>
      <c r="AE50" s="99"/>
      <c r="AF50" s="99"/>
      <c r="AG50" s="99"/>
      <c r="AH50" s="99"/>
      <c r="AI50" s="99"/>
      <c r="AJ50" s="99"/>
      <c r="AK50" s="99">
        <f t="shared" si="4"/>
        <v>8</v>
      </c>
      <c r="AL50" s="68"/>
      <c r="AM50" s="68"/>
      <c r="AN50" s="68"/>
      <c r="AO50" s="69"/>
    </row>
    <row r="51" spans="1:41" customFormat="1" x14ac:dyDescent="0.25">
      <c r="A51" s="85">
        <v>43</v>
      </c>
      <c r="B51" s="20" t="s">
        <v>337</v>
      </c>
      <c r="C51" s="88">
        <v>43</v>
      </c>
      <c r="D51" s="19" t="s">
        <v>110</v>
      </c>
      <c r="E51" s="18"/>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f t="shared" si="4"/>
        <v>0</v>
      </c>
      <c r="AL51" s="68"/>
      <c r="AM51" s="68"/>
      <c r="AN51" s="68"/>
      <c r="AO51" s="69"/>
    </row>
    <row r="52" spans="1:41" customFormat="1" x14ac:dyDescent="0.25">
      <c r="A52" s="85">
        <v>44</v>
      </c>
      <c r="B52" s="20" t="s">
        <v>337</v>
      </c>
      <c r="C52" s="88">
        <v>44</v>
      </c>
      <c r="D52" s="19" t="s">
        <v>111</v>
      </c>
      <c r="E52" s="18"/>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99">
        <f t="shared" si="4"/>
        <v>0</v>
      </c>
      <c r="AL52" s="68"/>
      <c r="AM52" s="68"/>
      <c r="AN52" s="68"/>
      <c r="AO52" s="69"/>
    </row>
    <row r="53" spans="1:41" customFormat="1" x14ac:dyDescent="0.25">
      <c r="A53" s="85">
        <v>45</v>
      </c>
      <c r="B53" s="20" t="s">
        <v>337</v>
      </c>
      <c r="C53" s="88">
        <v>45</v>
      </c>
      <c r="D53" s="19" t="s">
        <v>156</v>
      </c>
      <c r="E53" s="18"/>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c r="AH53" s="99"/>
      <c r="AI53" s="99"/>
      <c r="AJ53" s="99"/>
      <c r="AK53" s="99">
        <f t="shared" si="4"/>
        <v>0</v>
      </c>
      <c r="AL53" s="68"/>
      <c r="AM53" s="68"/>
      <c r="AN53" s="68"/>
      <c r="AO53" s="69"/>
    </row>
    <row r="54" spans="1:41" customFormat="1" x14ac:dyDescent="0.25">
      <c r="A54" s="85">
        <v>46</v>
      </c>
      <c r="B54" s="20" t="s">
        <v>337</v>
      </c>
      <c r="C54" s="88">
        <v>46</v>
      </c>
      <c r="D54" s="19" t="s">
        <v>157</v>
      </c>
      <c r="E54" s="18"/>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99"/>
      <c r="AI54" s="99"/>
      <c r="AJ54" s="99"/>
      <c r="AK54" s="99">
        <f t="shared" si="4"/>
        <v>0</v>
      </c>
      <c r="AL54" s="68"/>
      <c r="AM54" s="68"/>
      <c r="AN54" s="68"/>
      <c r="AO54" s="69"/>
    </row>
    <row r="55" spans="1:41" customFormat="1" x14ac:dyDescent="0.25">
      <c r="A55" s="85">
        <v>47</v>
      </c>
      <c r="B55" s="20" t="s">
        <v>337</v>
      </c>
      <c r="C55" s="88">
        <v>47</v>
      </c>
      <c r="D55" s="19" t="s">
        <v>158</v>
      </c>
      <c r="E55" s="18"/>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f t="shared" si="4"/>
        <v>0</v>
      </c>
      <c r="AL55" s="68"/>
      <c r="AM55" s="68"/>
      <c r="AN55" s="68"/>
      <c r="AO55" s="69"/>
    </row>
    <row r="56" spans="1:41" customFormat="1" x14ac:dyDescent="0.25">
      <c r="A56" s="85">
        <v>48</v>
      </c>
      <c r="B56" s="20" t="s">
        <v>334</v>
      </c>
      <c r="C56" s="88">
        <v>48</v>
      </c>
      <c r="D56" s="19" t="s">
        <v>112</v>
      </c>
      <c r="E56" s="18"/>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99"/>
      <c r="AI56" s="99"/>
      <c r="AJ56" s="99"/>
      <c r="AK56" s="99">
        <f t="shared" si="4"/>
        <v>0</v>
      </c>
      <c r="AL56" s="68"/>
      <c r="AM56" s="68"/>
      <c r="AN56" s="68"/>
      <c r="AO56" s="69"/>
    </row>
    <row r="57" spans="1:41" customFormat="1" x14ac:dyDescent="0.25">
      <c r="A57" s="85">
        <v>49</v>
      </c>
      <c r="B57" s="20" t="s">
        <v>334</v>
      </c>
      <c r="C57" s="88">
        <v>49</v>
      </c>
      <c r="D57" s="19" t="s">
        <v>113</v>
      </c>
      <c r="E57" s="18"/>
      <c r="F57" s="99"/>
      <c r="G57" s="99"/>
      <c r="H57" s="99"/>
      <c r="I57" s="99"/>
      <c r="J57" s="99"/>
      <c r="K57" s="99"/>
      <c r="L57" s="99"/>
      <c r="M57" s="99"/>
      <c r="N57" s="99"/>
      <c r="O57" s="99"/>
      <c r="P57" s="99"/>
      <c r="Q57" s="99"/>
      <c r="R57" s="99"/>
      <c r="S57" s="99"/>
      <c r="T57" s="99"/>
      <c r="U57" s="99"/>
      <c r="V57" s="99"/>
      <c r="W57" s="99"/>
      <c r="X57" s="99"/>
      <c r="Y57" s="99"/>
      <c r="Z57" s="99"/>
      <c r="AA57" s="99"/>
      <c r="AB57" s="99"/>
      <c r="AC57" s="99"/>
      <c r="AD57" s="99"/>
      <c r="AE57" s="99"/>
      <c r="AF57" s="99"/>
      <c r="AG57" s="99"/>
      <c r="AH57" s="99"/>
      <c r="AI57" s="99"/>
      <c r="AJ57" s="99"/>
      <c r="AK57" s="99">
        <f t="shared" si="4"/>
        <v>0</v>
      </c>
      <c r="AL57" s="68"/>
      <c r="AM57" s="68"/>
      <c r="AN57" s="68"/>
      <c r="AO57" s="69"/>
    </row>
    <row r="58" spans="1:41" customFormat="1" x14ac:dyDescent="0.25">
      <c r="A58" s="85">
        <v>50</v>
      </c>
      <c r="B58" s="20" t="s">
        <v>334</v>
      </c>
      <c r="C58" s="88">
        <v>50</v>
      </c>
      <c r="D58" s="19" t="s">
        <v>159</v>
      </c>
      <c r="E58" s="18"/>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99"/>
      <c r="AI58" s="99"/>
      <c r="AJ58" s="99"/>
      <c r="AK58" s="99">
        <f t="shared" si="4"/>
        <v>0</v>
      </c>
      <c r="AL58" s="68"/>
      <c r="AM58" s="68"/>
      <c r="AN58" s="68"/>
      <c r="AO58" s="69"/>
    </row>
    <row r="59" spans="1:41" customFormat="1" x14ac:dyDescent="0.25">
      <c r="A59" s="85">
        <v>51</v>
      </c>
      <c r="B59" s="20" t="s">
        <v>334</v>
      </c>
      <c r="C59" s="88">
        <v>51</v>
      </c>
      <c r="D59" s="19" t="s">
        <v>114</v>
      </c>
      <c r="E59" s="18"/>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99"/>
      <c r="AI59" s="99"/>
      <c r="AJ59" s="99"/>
      <c r="AK59" s="99">
        <f t="shared" si="4"/>
        <v>0</v>
      </c>
      <c r="AL59" s="68"/>
      <c r="AM59" s="68"/>
      <c r="AN59" s="68"/>
      <c r="AO59" s="69"/>
    </row>
    <row r="60" spans="1:41" customFormat="1" x14ac:dyDescent="0.25">
      <c r="A60" s="85">
        <v>52</v>
      </c>
      <c r="B60" s="20" t="s">
        <v>334</v>
      </c>
      <c r="C60" s="88">
        <v>52</v>
      </c>
      <c r="D60" s="19" t="s">
        <v>115</v>
      </c>
      <c r="E60" s="18"/>
      <c r="F60" s="99"/>
      <c r="G60" s="99"/>
      <c r="H60" s="99"/>
      <c r="I60" s="99"/>
      <c r="J60" s="99"/>
      <c r="K60" s="99"/>
      <c r="L60" s="99"/>
      <c r="M60" s="99"/>
      <c r="N60" s="99"/>
      <c r="O60" s="99"/>
      <c r="P60" s="99"/>
      <c r="Q60" s="99"/>
      <c r="R60" s="99"/>
      <c r="S60" s="99"/>
      <c r="T60" s="99"/>
      <c r="U60" s="99"/>
      <c r="V60" s="99"/>
      <c r="W60" s="99"/>
      <c r="X60" s="99"/>
      <c r="Y60" s="99"/>
      <c r="Z60" s="99"/>
      <c r="AA60" s="99"/>
      <c r="AB60" s="99"/>
      <c r="AC60" s="99"/>
      <c r="AD60" s="99"/>
      <c r="AE60" s="99"/>
      <c r="AF60" s="99"/>
      <c r="AG60" s="99"/>
      <c r="AH60" s="99"/>
      <c r="AI60" s="99"/>
      <c r="AJ60" s="99"/>
      <c r="AK60" s="99">
        <f t="shared" si="4"/>
        <v>0</v>
      </c>
      <c r="AL60" s="68"/>
      <c r="AM60" s="68"/>
      <c r="AN60" s="68"/>
      <c r="AO60" s="69"/>
    </row>
    <row r="61" spans="1:41" customFormat="1" x14ac:dyDescent="0.25">
      <c r="A61" s="85">
        <v>53</v>
      </c>
      <c r="B61" s="20" t="s">
        <v>334</v>
      </c>
      <c r="C61" s="88">
        <v>53</v>
      </c>
      <c r="D61" s="19" t="s">
        <v>116</v>
      </c>
      <c r="E61" s="18"/>
      <c r="F61" s="99"/>
      <c r="G61" s="99"/>
      <c r="H61" s="99"/>
      <c r="I61" s="99"/>
      <c r="J61" s="99"/>
      <c r="K61" s="99"/>
      <c r="L61" s="99"/>
      <c r="M61" s="99"/>
      <c r="N61" s="99"/>
      <c r="O61" s="99"/>
      <c r="P61" s="99"/>
      <c r="Q61" s="99"/>
      <c r="R61" s="99"/>
      <c r="S61" s="99"/>
      <c r="T61" s="99"/>
      <c r="U61" s="99"/>
      <c r="V61" s="99"/>
      <c r="W61" s="99"/>
      <c r="X61" s="99"/>
      <c r="Y61" s="99"/>
      <c r="Z61" s="99"/>
      <c r="AA61" s="99"/>
      <c r="AB61" s="99"/>
      <c r="AC61" s="99"/>
      <c r="AD61" s="99"/>
      <c r="AE61" s="99"/>
      <c r="AF61" s="99"/>
      <c r="AG61" s="99"/>
      <c r="AH61" s="99"/>
      <c r="AI61" s="99"/>
      <c r="AJ61" s="99"/>
      <c r="AK61" s="99">
        <f t="shared" si="4"/>
        <v>0</v>
      </c>
      <c r="AL61" s="68"/>
      <c r="AM61" s="68"/>
      <c r="AN61" s="68"/>
      <c r="AO61" s="69"/>
    </row>
    <row r="62" spans="1:41" customFormat="1" x14ac:dyDescent="0.25">
      <c r="A62" s="85">
        <v>54</v>
      </c>
      <c r="B62" s="20" t="s">
        <v>334</v>
      </c>
      <c r="C62" s="88">
        <v>54</v>
      </c>
      <c r="D62" s="19" t="s">
        <v>160</v>
      </c>
      <c r="E62" s="18"/>
      <c r="F62" s="99"/>
      <c r="G62" s="99"/>
      <c r="H62" s="99"/>
      <c r="I62" s="99"/>
      <c r="J62" s="99"/>
      <c r="K62" s="99"/>
      <c r="L62" s="99"/>
      <c r="M62" s="99"/>
      <c r="N62" s="99"/>
      <c r="O62" s="99"/>
      <c r="P62" s="99"/>
      <c r="Q62" s="99"/>
      <c r="R62" s="99"/>
      <c r="S62" s="99"/>
      <c r="T62" s="99"/>
      <c r="U62" s="99"/>
      <c r="V62" s="99"/>
      <c r="W62" s="99"/>
      <c r="X62" s="99"/>
      <c r="Y62" s="99"/>
      <c r="Z62" s="99"/>
      <c r="AA62" s="99"/>
      <c r="AB62" s="99"/>
      <c r="AC62" s="99"/>
      <c r="AD62" s="99"/>
      <c r="AE62" s="99"/>
      <c r="AF62" s="99"/>
      <c r="AG62" s="99"/>
      <c r="AH62" s="99"/>
      <c r="AI62" s="99"/>
      <c r="AJ62" s="99"/>
      <c r="AK62" s="99">
        <f t="shared" si="4"/>
        <v>0</v>
      </c>
      <c r="AL62" s="68"/>
      <c r="AM62" s="68"/>
      <c r="AN62" s="68"/>
      <c r="AO62" s="69"/>
    </row>
    <row r="63" spans="1:41" customFormat="1" x14ac:dyDescent="0.25">
      <c r="A63" s="85">
        <v>55</v>
      </c>
      <c r="B63" s="20" t="s">
        <v>334</v>
      </c>
      <c r="C63" s="88">
        <v>55</v>
      </c>
      <c r="D63" s="21" t="s">
        <v>126</v>
      </c>
      <c r="E63" s="18"/>
      <c r="F63" s="99"/>
      <c r="G63" s="99"/>
      <c r="H63" s="99"/>
      <c r="I63" s="99"/>
      <c r="J63" s="99"/>
      <c r="K63" s="99"/>
      <c r="L63" s="99"/>
      <c r="M63" s="99"/>
      <c r="N63" s="99"/>
      <c r="O63" s="99"/>
      <c r="P63" s="99"/>
      <c r="Q63" s="99"/>
      <c r="R63" s="99"/>
      <c r="S63" s="99"/>
      <c r="T63" s="99"/>
      <c r="U63" s="99"/>
      <c r="V63" s="99"/>
      <c r="W63" s="99"/>
      <c r="X63" s="99"/>
      <c r="Y63" s="99"/>
      <c r="Z63" s="99"/>
      <c r="AA63" s="99"/>
      <c r="AB63" s="99"/>
      <c r="AC63" s="99"/>
      <c r="AD63" s="99"/>
      <c r="AE63" s="99"/>
      <c r="AF63" s="99"/>
      <c r="AG63" s="99"/>
      <c r="AH63" s="99"/>
      <c r="AI63" s="99"/>
      <c r="AJ63" s="99"/>
      <c r="AK63" s="99">
        <f t="shared" si="4"/>
        <v>0</v>
      </c>
      <c r="AL63" s="68"/>
      <c r="AM63" s="68"/>
      <c r="AN63" s="68"/>
      <c r="AO63" s="69"/>
    </row>
    <row r="64" spans="1:41" customFormat="1" x14ac:dyDescent="0.25">
      <c r="A64" s="85">
        <v>56</v>
      </c>
      <c r="B64" s="20" t="s">
        <v>333</v>
      </c>
      <c r="C64" s="88">
        <v>56</v>
      </c>
      <c r="D64" s="19" t="s">
        <v>165</v>
      </c>
      <c r="E64" s="18"/>
      <c r="F64" s="99"/>
      <c r="G64" s="99"/>
      <c r="H64" s="99"/>
      <c r="I64" s="99"/>
      <c r="J64" s="99"/>
      <c r="K64" s="99"/>
      <c r="L64" s="99"/>
      <c r="M64" s="99"/>
      <c r="N64" s="99"/>
      <c r="O64" s="99"/>
      <c r="P64" s="99"/>
      <c r="Q64" s="99"/>
      <c r="R64" s="99"/>
      <c r="S64" s="99"/>
      <c r="T64" s="99"/>
      <c r="U64" s="99"/>
      <c r="V64" s="99"/>
      <c r="W64" s="99"/>
      <c r="X64" s="99"/>
      <c r="Y64" s="99"/>
      <c r="Z64" s="99"/>
      <c r="AA64" s="99"/>
      <c r="AB64" s="99"/>
      <c r="AC64" s="99"/>
      <c r="AD64" s="99"/>
      <c r="AE64" s="99"/>
      <c r="AF64" s="99"/>
      <c r="AG64" s="99"/>
      <c r="AH64" s="99"/>
      <c r="AI64" s="99"/>
      <c r="AJ64" s="99"/>
      <c r="AK64" s="99">
        <f t="shared" si="4"/>
        <v>0</v>
      </c>
      <c r="AL64" s="68"/>
      <c r="AM64" s="68"/>
      <c r="AN64" s="68"/>
      <c r="AO64" s="69"/>
    </row>
    <row r="65" spans="1:41" customFormat="1" x14ac:dyDescent="0.25">
      <c r="A65" s="85">
        <v>57</v>
      </c>
      <c r="B65" s="20" t="s">
        <v>334</v>
      </c>
      <c r="C65" s="88">
        <v>57</v>
      </c>
      <c r="D65" s="19" t="s">
        <v>117</v>
      </c>
      <c r="E65" s="18"/>
      <c r="F65" s="99"/>
      <c r="G65" s="99"/>
      <c r="H65" s="99"/>
      <c r="I65" s="99"/>
      <c r="J65" s="99"/>
      <c r="K65" s="99"/>
      <c r="L65" s="99"/>
      <c r="M65" s="99"/>
      <c r="N65" s="99"/>
      <c r="O65" s="99"/>
      <c r="P65" s="99"/>
      <c r="Q65" s="99"/>
      <c r="R65" s="99"/>
      <c r="S65" s="99"/>
      <c r="T65" s="99"/>
      <c r="U65" s="99"/>
      <c r="V65" s="99"/>
      <c r="W65" s="99"/>
      <c r="X65" s="99"/>
      <c r="Y65" s="99"/>
      <c r="Z65" s="99"/>
      <c r="AA65" s="99"/>
      <c r="AB65" s="99"/>
      <c r="AC65" s="99"/>
      <c r="AD65" s="99"/>
      <c r="AE65" s="99"/>
      <c r="AF65" s="99"/>
      <c r="AG65" s="99"/>
      <c r="AH65" s="99"/>
      <c r="AI65" s="99"/>
      <c r="AJ65" s="99"/>
      <c r="AK65" s="99">
        <f t="shared" si="4"/>
        <v>0</v>
      </c>
      <c r="AL65" s="68"/>
      <c r="AM65" s="68"/>
      <c r="AN65" s="68"/>
      <c r="AO65" s="69"/>
    </row>
    <row r="66" spans="1:41" customFormat="1" x14ac:dyDescent="0.25">
      <c r="A66" s="85">
        <v>58</v>
      </c>
      <c r="B66" s="20" t="s">
        <v>334</v>
      </c>
      <c r="C66" s="88">
        <v>58</v>
      </c>
      <c r="D66" s="19" t="s">
        <v>118</v>
      </c>
      <c r="E66" s="18"/>
      <c r="F66" s="99" t="s">
        <v>223</v>
      </c>
      <c r="G66" s="99"/>
      <c r="H66" s="99"/>
      <c r="I66" s="99"/>
      <c r="J66" s="99"/>
      <c r="K66" s="99"/>
      <c r="L66" s="99"/>
      <c r="M66" s="99" t="s">
        <v>222</v>
      </c>
      <c r="N66" s="99" t="s">
        <v>223</v>
      </c>
      <c r="O66" s="99"/>
      <c r="P66" s="99"/>
      <c r="Q66" s="99"/>
      <c r="R66" s="99" t="s">
        <v>223</v>
      </c>
      <c r="S66" s="99"/>
      <c r="T66" s="99"/>
      <c r="U66" s="99" t="s">
        <v>223</v>
      </c>
      <c r="V66" s="99" t="s">
        <v>223</v>
      </c>
      <c r="W66" s="99"/>
      <c r="X66" s="99"/>
      <c r="Y66" s="99"/>
      <c r="Z66" s="99"/>
      <c r="AA66" s="99"/>
      <c r="AB66" s="99"/>
      <c r="AC66" s="99"/>
      <c r="AD66" s="99"/>
      <c r="AE66" s="99"/>
      <c r="AF66" s="99"/>
      <c r="AG66" s="99"/>
      <c r="AH66" s="99" t="s">
        <v>222</v>
      </c>
      <c r="AI66" s="99"/>
      <c r="AJ66" s="99"/>
      <c r="AK66" s="99">
        <f t="shared" si="4"/>
        <v>6</v>
      </c>
      <c r="AL66" s="68"/>
      <c r="AM66" s="68"/>
      <c r="AN66" s="68"/>
      <c r="AO66" s="69"/>
    </row>
    <row r="67" spans="1:41" customFormat="1" x14ac:dyDescent="0.25">
      <c r="A67" s="85">
        <v>59</v>
      </c>
      <c r="B67" s="20" t="s">
        <v>333</v>
      </c>
      <c r="C67" s="88">
        <v>59</v>
      </c>
      <c r="D67" s="19" t="s">
        <v>119</v>
      </c>
      <c r="E67" s="18"/>
      <c r="F67" s="99"/>
      <c r="G67" s="99"/>
      <c r="H67" s="99"/>
      <c r="I67" s="99"/>
      <c r="J67" s="99"/>
      <c r="K67" s="99"/>
      <c r="L67" s="99"/>
      <c r="M67" s="99"/>
      <c r="N67" s="99"/>
      <c r="O67" s="99"/>
      <c r="P67" s="99"/>
      <c r="Q67" s="99"/>
      <c r="R67" s="99"/>
      <c r="S67" s="99"/>
      <c r="T67" s="99"/>
      <c r="U67" s="99"/>
      <c r="V67" s="99"/>
      <c r="W67" s="99"/>
      <c r="X67" s="99"/>
      <c r="Y67" s="99"/>
      <c r="Z67" s="99"/>
      <c r="AA67" s="99"/>
      <c r="AB67" s="99"/>
      <c r="AC67" s="99"/>
      <c r="AD67" s="99"/>
      <c r="AE67" s="99"/>
      <c r="AF67" s="99"/>
      <c r="AG67" s="99"/>
      <c r="AH67" s="99"/>
      <c r="AI67" s="99"/>
      <c r="AJ67" s="99"/>
      <c r="AK67" s="99">
        <f t="shared" si="4"/>
        <v>0</v>
      </c>
      <c r="AL67" s="68"/>
      <c r="AM67" s="68"/>
      <c r="AN67" s="68"/>
      <c r="AO67" s="69"/>
    </row>
    <row r="68" spans="1:41" customFormat="1" x14ac:dyDescent="0.25">
      <c r="A68" s="85">
        <v>60</v>
      </c>
      <c r="B68" s="20" t="s">
        <v>333</v>
      </c>
      <c r="C68" s="88">
        <v>60</v>
      </c>
      <c r="D68" s="19" t="s">
        <v>163</v>
      </c>
      <c r="E68" s="18"/>
      <c r="F68" s="99"/>
      <c r="G68" s="99" t="s">
        <v>222</v>
      </c>
      <c r="H68" s="99" t="s">
        <v>223</v>
      </c>
      <c r="I68" s="99"/>
      <c r="J68" s="99"/>
      <c r="K68" s="99"/>
      <c r="L68" s="99"/>
      <c r="M68" s="99"/>
      <c r="N68" s="99"/>
      <c r="O68" s="99"/>
      <c r="P68" s="99"/>
      <c r="Q68" s="99"/>
      <c r="R68" s="99"/>
      <c r="S68" s="99" t="s">
        <v>222</v>
      </c>
      <c r="T68" s="99"/>
      <c r="U68" s="99"/>
      <c r="V68" s="99"/>
      <c r="W68" s="99"/>
      <c r="X68" s="99"/>
      <c r="Y68" s="99"/>
      <c r="Z68" s="99"/>
      <c r="AA68" s="99"/>
      <c r="AB68" s="99"/>
      <c r="AC68" s="99"/>
      <c r="AD68" s="99"/>
      <c r="AE68" s="99"/>
      <c r="AF68" s="99"/>
      <c r="AG68" s="99"/>
      <c r="AH68" s="99"/>
      <c r="AI68" s="99"/>
      <c r="AJ68" s="99"/>
      <c r="AK68" s="99">
        <f t="shared" si="4"/>
        <v>2</v>
      </c>
      <c r="AL68" s="68"/>
      <c r="AM68" s="68"/>
      <c r="AN68" s="68"/>
      <c r="AO68" s="69"/>
    </row>
    <row r="69" spans="1:41" customFormat="1" x14ac:dyDescent="0.25">
      <c r="A69" s="85">
        <v>61</v>
      </c>
      <c r="B69" s="20" t="s">
        <v>333</v>
      </c>
      <c r="C69" s="88">
        <v>61</v>
      </c>
      <c r="D69" s="19" t="s">
        <v>164</v>
      </c>
      <c r="E69" s="18"/>
      <c r="F69" s="99" t="s">
        <v>223</v>
      </c>
      <c r="G69" s="99"/>
      <c r="H69" s="99"/>
      <c r="I69" s="99"/>
      <c r="J69" s="99"/>
      <c r="K69" s="99" t="s">
        <v>222</v>
      </c>
      <c r="L69" s="99"/>
      <c r="M69" s="99"/>
      <c r="N69" s="99" t="s">
        <v>222</v>
      </c>
      <c r="O69" s="99"/>
      <c r="P69" s="99"/>
      <c r="Q69" s="99"/>
      <c r="R69" s="99"/>
      <c r="S69" s="99"/>
      <c r="T69" s="99"/>
      <c r="U69" s="99"/>
      <c r="V69" s="99"/>
      <c r="W69" s="99"/>
      <c r="X69" s="99"/>
      <c r="Y69" s="99"/>
      <c r="Z69" s="99"/>
      <c r="AA69" s="99"/>
      <c r="AB69" s="99"/>
      <c r="AC69" s="99"/>
      <c r="AD69" s="99"/>
      <c r="AE69" s="99"/>
      <c r="AF69" s="99"/>
      <c r="AG69" s="99"/>
      <c r="AH69" s="99"/>
      <c r="AI69" s="99"/>
      <c r="AJ69" s="99"/>
      <c r="AK69" s="99">
        <f t="shared" si="4"/>
        <v>2</v>
      </c>
      <c r="AL69" s="68"/>
      <c r="AM69" s="68"/>
      <c r="AN69" s="68"/>
      <c r="AO69" s="69"/>
    </row>
    <row r="70" spans="1:41" customFormat="1" x14ac:dyDescent="0.25">
      <c r="A70" s="85">
        <v>62</v>
      </c>
      <c r="B70" s="20" t="s">
        <v>334</v>
      </c>
      <c r="C70" s="88">
        <v>62</v>
      </c>
      <c r="D70" s="19" t="s">
        <v>162</v>
      </c>
      <c r="E70" s="18"/>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99"/>
      <c r="AI70" s="99"/>
      <c r="AJ70" s="99"/>
      <c r="AK70" s="99">
        <f t="shared" si="4"/>
        <v>0</v>
      </c>
      <c r="AL70" s="68"/>
      <c r="AM70" s="68"/>
      <c r="AN70" s="68"/>
      <c r="AO70" s="69"/>
    </row>
    <row r="71" spans="1:41" customFormat="1" x14ac:dyDescent="0.25">
      <c r="A71" s="85">
        <v>63</v>
      </c>
      <c r="B71" s="20" t="s">
        <v>339</v>
      </c>
      <c r="C71" s="88">
        <v>63</v>
      </c>
      <c r="D71" s="19" t="s">
        <v>120</v>
      </c>
      <c r="E71" s="18"/>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99"/>
      <c r="AI71" s="99"/>
      <c r="AJ71" s="99"/>
      <c r="AK71" s="99">
        <f t="shared" si="4"/>
        <v>0</v>
      </c>
      <c r="AL71" s="68"/>
      <c r="AM71" s="68"/>
      <c r="AN71" s="68"/>
      <c r="AO71" s="69"/>
    </row>
    <row r="72" spans="1:41" customFormat="1" x14ac:dyDescent="0.25">
      <c r="A72" s="85">
        <v>64</v>
      </c>
      <c r="B72" s="20" t="s">
        <v>339</v>
      </c>
      <c r="C72" s="88">
        <v>64</v>
      </c>
      <c r="D72" s="19" t="s">
        <v>166</v>
      </c>
      <c r="E72" s="18"/>
      <c r="F72" s="99" t="s">
        <v>222</v>
      </c>
      <c r="G72" s="99"/>
      <c r="H72" s="99" t="s">
        <v>222</v>
      </c>
      <c r="I72" s="99"/>
      <c r="J72" s="99"/>
      <c r="K72" s="99"/>
      <c r="L72" s="99"/>
      <c r="M72" s="99"/>
      <c r="N72" s="99" t="s">
        <v>223</v>
      </c>
      <c r="O72" s="99" t="s">
        <v>222</v>
      </c>
      <c r="P72" s="99"/>
      <c r="Q72" s="99"/>
      <c r="R72" s="99" t="s">
        <v>222</v>
      </c>
      <c r="S72" s="99"/>
      <c r="T72" s="99" t="s">
        <v>222</v>
      </c>
      <c r="U72" s="99"/>
      <c r="V72" s="99"/>
      <c r="W72" s="99"/>
      <c r="X72" s="99"/>
      <c r="Y72" s="99" t="s">
        <v>222</v>
      </c>
      <c r="Z72" s="99"/>
      <c r="AA72" s="99" t="s">
        <v>222</v>
      </c>
      <c r="AB72" s="99"/>
      <c r="AC72" s="99" t="s">
        <v>223</v>
      </c>
      <c r="AD72" s="99"/>
      <c r="AE72" s="99"/>
      <c r="AF72" s="99"/>
      <c r="AG72" s="99"/>
      <c r="AH72" s="99" t="s">
        <v>222</v>
      </c>
      <c r="AI72" s="99"/>
      <c r="AJ72" s="99"/>
      <c r="AK72" s="99">
        <f t="shared" si="4"/>
        <v>6</v>
      </c>
      <c r="AL72" s="68"/>
      <c r="AM72" s="68"/>
      <c r="AN72" s="68"/>
      <c r="AO72" s="69"/>
    </row>
    <row r="73" spans="1:41" customFormat="1" x14ac:dyDescent="0.25">
      <c r="A73" s="85">
        <v>65</v>
      </c>
      <c r="B73" s="20" t="s">
        <v>339</v>
      </c>
      <c r="C73" s="88">
        <v>65</v>
      </c>
      <c r="D73" s="19" t="s">
        <v>167</v>
      </c>
      <c r="E73" s="18"/>
      <c r="F73" s="99" t="s">
        <v>223</v>
      </c>
      <c r="G73" s="99" t="s">
        <v>223</v>
      </c>
      <c r="H73" s="99"/>
      <c r="I73" s="99"/>
      <c r="J73" s="99"/>
      <c r="K73" s="99"/>
      <c r="L73" s="99" t="s">
        <v>223</v>
      </c>
      <c r="M73" s="99" t="s">
        <v>223</v>
      </c>
      <c r="N73" s="99" t="s">
        <v>222</v>
      </c>
      <c r="O73" s="99"/>
      <c r="P73" s="99"/>
      <c r="Q73" s="99"/>
      <c r="R73" s="99" t="s">
        <v>222</v>
      </c>
      <c r="S73" s="99" t="s">
        <v>222</v>
      </c>
      <c r="T73" s="99"/>
      <c r="U73" s="99" t="s">
        <v>222</v>
      </c>
      <c r="V73" s="99" t="s">
        <v>223</v>
      </c>
      <c r="W73" s="99"/>
      <c r="X73" s="99"/>
      <c r="Y73" s="99" t="s">
        <v>222</v>
      </c>
      <c r="Z73" s="99"/>
      <c r="AA73" s="99" t="s">
        <v>223</v>
      </c>
      <c r="AB73" s="99" t="s">
        <v>223</v>
      </c>
      <c r="AC73" s="99" t="s">
        <v>223</v>
      </c>
      <c r="AD73" s="99"/>
      <c r="AE73" s="99" t="s">
        <v>222</v>
      </c>
      <c r="AF73" s="99"/>
      <c r="AG73" s="99" t="s">
        <v>223</v>
      </c>
      <c r="AH73" s="99" t="s">
        <v>223</v>
      </c>
      <c r="AI73" s="99" t="s">
        <v>222</v>
      </c>
      <c r="AJ73" s="99" t="s">
        <v>223</v>
      </c>
      <c r="AK73" s="99">
        <f t="shared" ref="AK73:AK104" si="5">COUNTIF(F73:AJ73,"x")+COUNTIF(F73:AJ73,"x/2")*0.5</f>
        <v>14.5</v>
      </c>
      <c r="AL73" s="68"/>
      <c r="AM73" s="68"/>
      <c r="AN73" s="68"/>
      <c r="AO73" s="69"/>
    </row>
    <row r="74" spans="1:41" customFormat="1" x14ac:dyDescent="0.25">
      <c r="A74" s="85">
        <v>66</v>
      </c>
      <c r="B74" s="20" t="s">
        <v>339</v>
      </c>
      <c r="C74" s="88">
        <v>66</v>
      </c>
      <c r="D74" s="19" t="s">
        <v>121</v>
      </c>
      <c r="E74" s="18"/>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99">
        <f t="shared" si="5"/>
        <v>0</v>
      </c>
      <c r="AL74" s="68"/>
      <c r="AM74" s="68"/>
      <c r="AN74" s="68"/>
      <c r="AO74" s="69"/>
    </row>
    <row r="75" spans="1:41" customFormat="1" x14ac:dyDescent="0.25">
      <c r="A75" s="85">
        <v>67</v>
      </c>
      <c r="B75" s="20" t="s">
        <v>339</v>
      </c>
      <c r="C75" s="88">
        <v>67</v>
      </c>
      <c r="D75" s="19" t="s">
        <v>168</v>
      </c>
      <c r="E75" s="18"/>
      <c r="F75" s="99"/>
      <c r="G75" s="99"/>
      <c r="H75" s="99"/>
      <c r="I75" s="99"/>
      <c r="J75" s="99"/>
      <c r="K75" s="99"/>
      <c r="L75" s="99"/>
      <c r="M75" s="99"/>
      <c r="N75" s="99"/>
      <c r="O75" s="99"/>
      <c r="P75" s="99"/>
      <c r="Q75" s="99"/>
      <c r="R75" s="99"/>
      <c r="S75" s="99"/>
      <c r="T75" s="99"/>
      <c r="U75" s="99"/>
      <c r="V75" s="99"/>
      <c r="W75" s="99"/>
      <c r="X75" s="99"/>
      <c r="Y75" s="99"/>
      <c r="Z75" s="99"/>
      <c r="AA75" s="99"/>
      <c r="AB75" s="99"/>
      <c r="AC75" s="99"/>
      <c r="AD75" s="99"/>
      <c r="AE75" s="99"/>
      <c r="AF75" s="99"/>
      <c r="AG75" s="99"/>
      <c r="AH75" s="99"/>
      <c r="AI75" s="99"/>
      <c r="AJ75" s="99"/>
      <c r="AK75" s="99">
        <f t="shared" si="5"/>
        <v>0</v>
      </c>
      <c r="AL75" s="68"/>
      <c r="AM75" s="68"/>
      <c r="AN75" s="68"/>
      <c r="AO75" s="69"/>
    </row>
    <row r="76" spans="1:41" customFormat="1" x14ac:dyDescent="0.25">
      <c r="A76" s="85">
        <v>68</v>
      </c>
      <c r="B76" s="20" t="s">
        <v>339</v>
      </c>
      <c r="C76" s="88">
        <v>68</v>
      </c>
      <c r="D76" s="19" t="s">
        <v>122</v>
      </c>
      <c r="E76" s="18"/>
      <c r="F76" s="99"/>
      <c r="G76" s="99"/>
      <c r="H76" s="99"/>
      <c r="I76" s="99"/>
      <c r="J76" s="99"/>
      <c r="K76" s="99"/>
      <c r="L76" s="99"/>
      <c r="M76" s="99" t="s">
        <v>222</v>
      </c>
      <c r="N76" s="99"/>
      <c r="O76" s="99"/>
      <c r="P76" s="99"/>
      <c r="Q76" s="99"/>
      <c r="R76" s="99"/>
      <c r="S76" s="99"/>
      <c r="T76" s="99"/>
      <c r="U76" s="99"/>
      <c r="V76" s="99"/>
      <c r="W76" s="99"/>
      <c r="X76" s="99"/>
      <c r="Y76" s="99"/>
      <c r="Z76" s="99"/>
      <c r="AA76" s="99"/>
      <c r="AB76" s="99"/>
      <c r="AC76" s="99"/>
      <c r="AD76" s="99"/>
      <c r="AE76" s="99"/>
      <c r="AF76" s="99"/>
      <c r="AG76" s="99"/>
      <c r="AH76" s="99"/>
      <c r="AI76" s="99"/>
      <c r="AJ76" s="99"/>
      <c r="AK76" s="99">
        <f t="shared" si="5"/>
        <v>0.5</v>
      </c>
      <c r="AL76" s="68"/>
      <c r="AM76" s="68"/>
      <c r="AN76" s="68"/>
      <c r="AO76" s="69"/>
    </row>
    <row r="77" spans="1:41" customFormat="1" x14ac:dyDescent="0.25">
      <c r="A77" s="85">
        <v>69</v>
      </c>
      <c r="B77" s="20" t="s">
        <v>339</v>
      </c>
      <c r="C77" s="88">
        <v>69</v>
      </c>
      <c r="D77" s="19" t="s">
        <v>192</v>
      </c>
      <c r="E77" s="18"/>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99">
        <f t="shared" si="5"/>
        <v>0</v>
      </c>
      <c r="AL77" s="68"/>
      <c r="AM77" s="68"/>
      <c r="AN77" s="68"/>
      <c r="AO77" s="69"/>
    </row>
    <row r="78" spans="1:41" customFormat="1" x14ac:dyDescent="0.25">
      <c r="A78" s="85">
        <v>70</v>
      </c>
      <c r="B78" s="20" t="s">
        <v>334</v>
      </c>
      <c r="C78" s="88">
        <v>70</v>
      </c>
      <c r="D78" s="19" t="s">
        <v>191</v>
      </c>
      <c r="E78" s="18"/>
      <c r="F78" s="99"/>
      <c r="G78" s="99"/>
      <c r="H78" s="99"/>
      <c r="I78" s="99"/>
      <c r="J78" s="99"/>
      <c r="K78" s="99"/>
      <c r="L78" s="99"/>
      <c r="M78" s="99"/>
      <c r="N78" s="99"/>
      <c r="O78" s="99"/>
      <c r="P78" s="99"/>
      <c r="Q78" s="99"/>
      <c r="R78" s="99"/>
      <c r="S78" s="99"/>
      <c r="T78" s="99"/>
      <c r="U78" s="99"/>
      <c r="V78" s="99"/>
      <c r="W78" s="99"/>
      <c r="X78" s="99"/>
      <c r="Y78" s="99"/>
      <c r="Z78" s="99"/>
      <c r="AA78" s="99"/>
      <c r="AB78" s="99"/>
      <c r="AC78" s="99"/>
      <c r="AD78" s="99"/>
      <c r="AE78" s="99"/>
      <c r="AF78" s="99" t="s">
        <v>223</v>
      </c>
      <c r="AG78" s="99"/>
      <c r="AH78" s="99"/>
      <c r="AI78" s="99"/>
      <c r="AJ78" s="99"/>
      <c r="AK78" s="99">
        <f t="shared" si="5"/>
        <v>1</v>
      </c>
      <c r="AL78" s="68"/>
      <c r="AM78" s="68"/>
      <c r="AN78" s="68"/>
      <c r="AO78" s="69"/>
    </row>
    <row r="79" spans="1:41" customFormat="1" x14ac:dyDescent="0.25">
      <c r="A79" s="85">
        <v>71</v>
      </c>
      <c r="B79" s="20" t="s">
        <v>345</v>
      </c>
      <c r="C79" s="88">
        <v>71</v>
      </c>
      <c r="D79" s="22" t="s">
        <v>190</v>
      </c>
      <c r="E79" s="18"/>
      <c r="F79" s="99" t="s">
        <v>223</v>
      </c>
      <c r="G79" s="99" t="s">
        <v>223</v>
      </c>
      <c r="H79" s="99" t="s">
        <v>223</v>
      </c>
      <c r="I79" s="99"/>
      <c r="J79" s="99"/>
      <c r="K79" s="99" t="s">
        <v>223</v>
      </c>
      <c r="L79" s="99" t="s">
        <v>223</v>
      </c>
      <c r="M79" s="99" t="s">
        <v>223</v>
      </c>
      <c r="N79" s="99" t="s">
        <v>222</v>
      </c>
      <c r="O79" s="99" t="s">
        <v>223</v>
      </c>
      <c r="P79" s="99"/>
      <c r="Q79" s="99"/>
      <c r="R79" s="99" t="s">
        <v>223</v>
      </c>
      <c r="S79" s="99" t="s">
        <v>223</v>
      </c>
      <c r="T79" s="99" t="s">
        <v>223</v>
      </c>
      <c r="U79" s="99" t="s">
        <v>223</v>
      </c>
      <c r="V79" s="99" t="s">
        <v>223</v>
      </c>
      <c r="W79" s="99"/>
      <c r="X79" s="99"/>
      <c r="Y79" s="99" t="s">
        <v>223</v>
      </c>
      <c r="Z79" s="99" t="s">
        <v>223</v>
      </c>
      <c r="AA79" s="99" t="s">
        <v>223</v>
      </c>
      <c r="AB79" s="99" t="s">
        <v>223</v>
      </c>
      <c r="AC79" s="99" t="s">
        <v>223</v>
      </c>
      <c r="AD79" s="99"/>
      <c r="AE79" s="99"/>
      <c r="AF79" s="99" t="s">
        <v>222</v>
      </c>
      <c r="AG79" s="99"/>
      <c r="AH79" s="99"/>
      <c r="AI79" s="99"/>
      <c r="AJ79" s="99"/>
      <c r="AK79" s="99">
        <f t="shared" si="5"/>
        <v>18</v>
      </c>
      <c r="AL79" s="68"/>
      <c r="AM79" s="68"/>
      <c r="AN79" s="68"/>
      <c r="AO79" s="69"/>
    </row>
    <row r="80" spans="1:41" customFormat="1" x14ac:dyDescent="0.25">
      <c r="A80" s="85">
        <v>72</v>
      </c>
      <c r="B80" s="20" t="s">
        <v>335</v>
      </c>
      <c r="C80" s="88">
        <v>72</v>
      </c>
      <c r="D80" s="21" t="s">
        <v>130</v>
      </c>
      <c r="E80" s="18"/>
      <c r="F80" s="99"/>
      <c r="G80" s="99"/>
      <c r="H80" s="99"/>
      <c r="I80" s="99"/>
      <c r="J80" s="99"/>
      <c r="K80" s="99"/>
      <c r="L80" s="99"/>
      <c r="M80" s="99"/>
      <c r="N80" s="99"/>
      <c r="O80" s="99"/>
      <c r="P80" s="99"/>
      <c r="Q80" s="99"/>
      <c r="R80" s="99"/>
      <c r="S80" s="99"/>
      <c r="T80" s="99"/>
      <c r="U80" s="99"/>
      <c r="V80" s="99"/>
      <c r="W80" s="99"/>
      <c r="X80" s="99"/>
      <c r="Y80" s="99"/>
      <c r="Z80" s="99"/>
      <c r="AA80" s="99"/>
      <c r="AB80" s="99"/>
      <c r="AC80" s="99"/>
      <c r="AD80" s="99"/>
      <c r="AE80" s="99"/>
      <c r="AF80" s="99"/>
      <c r="AG80" s="99"/>
      <c r="AH80" s="99"/>
      <c r="AI80" s="99"/>
      <c r="AJ80" s="99"/>
      <c r="AK80" s="99">
        <f t="shared" si="5"/>
        <v>0</v>
      </c>
      <c r="AL80" s="68"/>
      <c r="AM80" s="68"/>
      <c r="AN80" s="68"/>
      <c r="AO80" s="69"/>
    </row>
    <row r="81" spans="1:41" customFormat="1" x14ac:dyDescent="0.25">
      <c r="A81" s="85">
        <v>73</v>
      </c>
      <c r="B81" s="20" t="s">
        <v>334</v>
      </c>
      <c r="C81" s="88">
        <v>73</v>
      </c>
      <c r="D81" s="21" t="s">
        <v>123</v>
      </c>
      <c r="E81" s="18"/>
      <c r="F81" s="99"/>
      <c r="G81" s="99"/>
      <c r="H81" s="99"/>
      <c r="I81" s="99"/>
      <c r="J81" s="99"/>
      <c r="K81" s="99"/>
      <c r="L81" s="99"/>
      <c r="M81" s="99"/>
      <c r="N81" s="99"/>
      <c r="O81" s="99"/>
      <c r="P81" s="99"/>
      <c r="Q81" s="99"/>
      <c r="R81" s="99"/>
      <c r="S81" s="99"/>
      <c r="T81" s="99"/>
      <c r="U81" s="99"/>
      <c r="V81" s="99"/>
      <c r="W81" s="99"/>
      <c r="X81" s="99"/>
      <c r="Y81" s="99"/>
      <c r="Z81" s="99"/>
      <c r="AA81" s="99"/>
      <c r="AB81" s="99"/>
      <c r="AC81" s="99"/>
      <c r="AD81" s="99"/>
      <c r="AE81" s="99"/>
      <c r="AF81" s="99"/>
      <c r="AG81" s="99"/>
      <c r="AH81" s="99"/>
      <c r="AI81" s="99"/>
      <c r="AJ81" s="99"/>
      <c r="AK81" s="99">
        <f t="shared" si="5"/>
        <v>0</v>
      </c>
      <c r="AL81" s="68"/>
      <c r="AM81" s="68"/>
      <c r="AN81" s="68"/>
      <c r="AO81" s="69"/>
    </row>
    <row r="82" spans="1:41" customFormat="1" x14ac:dyDescent="0.25">
      <c r="A82" s="85">
        <v>74</v>
      </c>
      <c r="B82" s="20" t="s">
        <v>339</v>
      </c>
      <c r="C82" s="88">
        <v>74</v>
      </c>
      <c r="D82" s="21" t="s">
        <v>188</v>
      </c>
      <c r="E82" s="18"/>
      <c r="F82" s="99"/>
      <c r="G82" s="99"/>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c r="AK82" s="99">
        <f t="shared" si="5"/>
        <v>0</v>
      </c>
      <c r="AL82" s="68"/>
      <c r="AM82" s="68"/>
      <c r="AN82" s="68"/>
      <c r="AO82" s="69"/>
    </row>
    <row r="83" spans="1:41" customFormat="1" x14ac:dyDescent="0.25">
      <c r="A83" s="85">
        <v>75</v>
      </c>
      <c r="B83" s="20" t="s">
        <v>334</v>
      </c>
      <c r="C83" s="88">
        <v>75</v>
      </c>
      <c r="D83" s="21" t="s">
        <v>187</v>
      </c>
      <c r="E83" s="18"/>
      <c r="F83" s="99" t="s">
        <v>222</v>
      </c>
      <c r="G83" s="99"/>
      <c r="H83" s="99" t="s">
        <v>223</v>
      </c>
      <c r="I83" s="99"/>
      <c r="J83" s="99"/>
      <c r="K83" s="99" t="s">
        <v>222</v>
      </c>
      <c r="L83" s="99" t="s">
        <v>223</v>
      </c>
      <c r="M83" s="99" t="s">
        <v>223</v>
      </c>
      <c r="N83" s="99" t="s">
        <v>223</v>
      </c>
      <c r="O83" s="99" t="s">
        <v>223</v>
      </c>
      <c r="P83" s="99"/>
      <c r="Q83" s="99"/>
      <c r="R83" s="99" t="s">
        <v>222</v>
      </c>
      <c r="S83" s="99" t="s">
        <v>222</v>
      </c>
      <c r="T83" s="99" t="s">
        <v>223</v>
      </c>
      <c r="U83" s="99" t="s">
        <v>223</v>
      </c>
      <c r="V83" s="99"/>
      <c r="W83" s="99"/>
      <c r="X83" s="99"/>
      <c r="Y83" s="99"/>
      <c r="Z83" s="99"/>
      <c r="AA83" s="99"/>
      <c r="AB83" s="99"/>
      <c r="AC83" s="99"/>
      <c r="AD83" s="99"/>
      <c r="AE83" s="99"/>
      <c r="AF83" s="99"/>
      <c r="AG83" s="99"/>
      <c r="AH83" s="99"/>
      <c r="AI83" s="99"/>
      <c r="AJ83" s="99"/>
      <c r="AK83" s="99">
        <f t="shared" si="5"/>
        <v>9</v>
      </c>
      <c r="AL83" s="68"/>
      <c r="AM83" s="68"/>
      <c r="AN83" s="68"/>
      <c r="AO83" s="69"/>
    </row>
    <row r="84" spans="1:41" customFormat="1" x14ac:dyDescent="0.25">
      <c r="A84" s="85">
        <v>76</v>
      </c>
      <c r="B84" s="20" t="s">
        <v>334</v>
      </c>
      <c r="C84" s="88">
        <v>76</v>
      </c>
      <c r="D84" s="21" t="s">
        <v>186</v>
      </c>
      <c r="E84" s="18"/>
      <c r="F84" s="99"/>
      <c r="G84" s="99"/>
      <c r="H84" s="99" t="s">
        <v>223</v>
      </c>
      <c r="I84" s="99"/>
      <c r="J84" s="99"/>
      <c r="K84" s="99" t="s">
        <v>223</v>
      </c>
      <c r="L84" s="99" t="s">
        <v>223</v>
      </c>
      <c r="M84" s="99" t="s">
        <v>223</v>
      </c>
      <c r="N84" s="99"/>
      <c r="O84" s="99" t="s">
        <v>222</v>
      </c>
      <c r="P84" s="99"/>
      <c r="Q84" s="99"/>
      <c r="R84" s="99" t="s">
        <v>222</v>
      </c>
      <c r="S84" s="99"/>
      <c r="T84" s="99" t="s">
        <v>222</v>
      </c>
      <c r="U84" s="99" t="s">
        <v>223</v>
      </c>
      <c r="V84" s="99"/>
      <c r="W84" s="99"/>
      <c r="X84" s="99"/>
      <c r="Y84" s="99" t="s">
        <v>223</v>
      </c>
      <c r="Z84" s="99"/>
      <c r="AA84" s="99" t="s">
        <v>222</v>
      </c>
      <c r="AB84" s="99" t="s">
        <v>223</v>
      </c>
      <c r="AC84" s="99" t="s">
        <v>222</v>
      </c>
      <c r="AD84" s="99"/>
      <c r="AE84" s="99"/>
      <c r="AF84" s="99"/>
      <c r="AG84" s="99"/>
      <c r="AH84" s="99"/>
      <c r="AI84" s="99"/>
      <c r="AJ84" s="99"/>
      <c r="AK84" s="99">
        <f t="shared" si="5"/>
        <v>9.5</v>
      </c>
      <c r="AL84" s="68"/>
      <c r="AM84" s="68"/>
      <c r="AN84" s="68"/>
      <c r="AO84" s="69"/>
    </row>
    <row r="85" spans="1:41" customFormat="1" x14ac:dyDescent="0.25">
      <c r="A85" s="85">
        <v>77</v>
      </c>
      <c r="B85" s="20" t="s">
        <v>333</v>
      </c>
      <c r="C85" s="88">
        <v>77</v>
      </c>
      <c r="D85" s="1" t="s">
        <v>299</v>
      </c>
      <c r="E85" s="18"/>
      <c r="F85" s="99" t="s">
        <v>223</v>
      </c>
      <c r="G85" s="99" t="s">
        <v>223</v>
      </c>
      <c r="H85" s="99" t="s">
        <v>223</v>
      </c>
      <c r="I85" s="99"/>
      <c r="J85" s="99"/>
      <c r="K85" s="99" t="s">
        <v>223</v>
      </c>
      <c r="L85" s="99" t="s">
        <v>223</v>
      </c>
      <c r="M85" s="99" t="s">
        <v>223</v>
      </c>
      <c r="N85" s="99" t="s">
        <v>222</v>
      </c>
      <c r="O85" s="99" t="s">
        <v>223</v>
      </c>
      <c r="P85" s="99"/>
      <c r="Q85" s="99"/>
      <c r="R85" s="99" t="s">
        <v>223</v>
      </c>
      <c r="S85" s="99" t="s">
        <v>223</v>
      </c>
      <c r="T85" s="99" t="s">
        <v>223</v>
      </c>
      <c r="U85" s="99" t="s">
        <v>223</v>
      </c>
      <c r="V85" s="99" t="s">
        <v>223</v>
      </c>
      <c r="W85" s="99"/>
      <c r="X85" s="99"/>
      <c r="Y85" s="99" t="s">
        <v>223</v>
      </c>
      <c r="Z85" s="99" t="s">
        <v>223</v>
      </c>
      <c r="AA85" s="99" t="s">
        <v>223</v>
      </c>
      <c r="AB85" s="99" t="s">
        <v>222</v>
      </c>
      <c r="AC85" s="99" t="s">
        <v>222</v>
      </c>
      <c r="AD85" s="99"/>
      <c r="AE85" s="99"/>
      <c r="AF85" s="99" t="s">
        <v>223</v>
      </c>
      <c r="AG85" s="99" t="s">
        <v>223</v>
      </c>
      <c r="AH85" s="99" t="s">
        <v>223</v>
      </c>
      <c r="AI85" s="99" t="s">
        <v>222</v>
      </c>
      <c r="AJ85" s="99"/>
      <c r="AK85" s="99">
        <f t="shared" si="5"/>
        <v>20</v>
      </c>
      <c r="AL85" s="68"/>
      <c r="AM85" s="68"/>
      <c r="AN85" s="68"/>
      <c r="AO85" s="69"/>
    </row>
    <row r="86" spans="1:41" customFormat="1" x14ac:dyDescent="0.25">
      <c r="A86" s="85">
        <v>78</v>
      </c>
      <c r="B86" s="20" t="s">
        <v>342</v>
      </c>
      <c r="C86" s="88">
        <v>78</v>
      </c>
      <c r="D86" s="21" t="s">
        <v>125</v>
      </c>
      <c r="E86" s="18"/>
      <c r="F86" s="99" t="s">
        <v>223</v>
      </c>
      <c r="G86" s="99" t="s">
        <v>223</v>
      </c>
      <c r="H86" s="99" t="s">
        <v>223</v>
      </c>
      <c r="I86" s="99"/>
      <c r="J86" s="99"/>
      <c r="K86" s="99"/>
      <c r="L86" s="99" t="s">
        <v>223</v>
      </c>
      <c r="M86" s="99" t="s">
        <v>223</v>
      </c>
      <c r="N86" s="99" t="s">
        <v>223</v>
      </c>
      <c r="O86" s="99" t="s">
        <v>223</v>
      </c>
      <c r="P86" s="99"/>
      <c r="Q86" s="99"/>
      <c r="R86" s="99" t="s">
        <v>223</v>
      </c>
      <c r="S86" s="99" t="s">
        <v>223</v>
      </c>
      <c r="T86" s="99"/>
      <c r="U86" s="99"/>
      <c r="V86" s="99"/>
      <c r="W86" s="99"/>
      <c r="X86" s="99"/>
      <c r="Y86" s="99" t="s">
        <v>223</v>
      </c>
      <c r="Z86" s="99" t="s">
        <v>223</v>
      </c>
      <c r="AA86" s="99" t="s">
        <v>223</v>
      </c>
      <c r="AB86" s="99" t="s">
        <v>223</v>
      </c>
      <c r="AC86" s="99" t="s">
        <v>223</v>
      </c>
      <c r="AD86" s="99"/>
      <c r="AE86" s="99"/>
      <c r="AF86" s="99"/>
      <c r="AG86" s="99"/>
      <c r="AH86" s="99"/>
      <c r="AI86" s="99"/>
      <c r="AJ86" s="99"/>
      <c r="AK86" s="99">
        <f t="shared" si="5"/>
        <v>14</v>
      </c>
      <c r="AL86" s="68"/>
      <c r="AM86" s="68"/>
      <c r="AN86" s="68"/>
      <c r="AO86" s="69"/>
    </row>
    <row r="87" spans="1:41" customFormat="1" x14ac:dyDescent="0.25">
      <c r="A87" s="85">
        <v>79</v>
      </c>
      <c r="B87" s="20" t="s">
        <v>335</v>
      </c>
      <c r="C87" s="88">
        <v>79</v>
      </c>
      <c r="D87" s="21" t="s">
        <v>185</v>
      </c>
      <c r="E87" s="18"/>
      <c r="F87" s="99" t="s">
        <v>223</v>
      </c>
      <c r="G87" s="99" t="s">
        <v>223</v>
      </c>
      <c r="H87" s="99" t="s">
        <v>223</v>
      </c>
      <c r="I87" s="99"/>
      <c r="J87" s="99"/>
      <c r="K87" s="99" t="s">
        <v>223</v>
      </c>
      <c r="L87" s="99" t="s">
        <v>223</v>
      </c>
      <c r="M87" s="99" t="s">
        <v>223</v>
      </c>
      <c r="N87" s="99"/>
      <c r="O87" s="99" t="s">
        <v>222</v>
      </c>
      <c r="P87" s="99"/>
      <c r="Q87" s="99"/>
      <c r="R87" s="99" t="s">
        <v>223</v>
      </c>
      <c r="S87" s="99" t="s">
        <v>222</v>
      </c>
      <c r="T87" s="99" t="s">
        <v>223</v>
      </c>
      <c r="U87" s="99" t="s">
        <v>223</v>
      </c>
      <c r="V87" s="99" t="s">
        <v>223</v>
      </c>
      <c r="W87" s="99"/>
      <c r="X87" s="99"/>
      <c r="Y87" s="99" t="s">
        <v>223</v>
      </c>
      <c r="Z87" s="99" t="s">
        <v>223</v>
      </c>
      <c r="AA87" s="99" t="s">
        <v>223</v>
      </c>
      <c r="AB87" s="99"/>
      <c r="AC87" s="99" t="s">
        <v>222</v>
      </c>
      <c r="AD87" s="99"/>
      <c r="AE87" s="99"/>
      <c r="AF87" s="99"/>
      <c r="AG87" s="99"/>
      <c r="AH87" s="99"/>
      <c r="AI87" s="99"/>
      <c r="AJ87" s="99"/>
      <c r="AK87" s="99">
        <f t="shared" si="5"/>
        <v>14.5</v>
      </c>
      <c r="AL87" s="68"/>
      <c r="AM87" s="68"/>
      <c r="AN87" s="68"/>
      <c r="AO87" s="69"/>
    </row>
    <row r="88" spans="1:41" customFormat="1" x14ac:dyDescent="0.25">
      <c r="A88" s="85">
        <v>80</v>
      </c>
      <c r="B88" s="20" t="s">
        <v>343</v>
      </c>
      <c r="C88" s="88">
        <v>80</v>
      </c>
      <c r="D88" s="19" t="s">
        <v>101</v>
      </c>
      <c r="E88" s="18"/>
      <c r="F88" s="99"/>
      <c r="G88" s="99"/>
      <c r="H88" s="99"/>
      <c r="I88" s="99"/>
      <c r="J88" s="99"/>
      <c r="K88" s="99"/>
      <c r="L88" s="99"/>
      <c r="M88" s="99"/>
      <c r="N88" s="99"/>
      <c r="O88" s="99"/>
      <c r="P88" s="99"/>
      <c r="Q88" s="99"/>
      <c r="R88" s="99"/>
      <c r="S88" s="99"/>
      <c r="T88" s="99"/>
      <c r="U88" s="99"/>
      <c r="V88" s="99"/>
      <c r="W88" s="99"/>
      <c r="X88" s="99"/>
      <c r="Y88" s="99"/>
      <c r="Z88" s="99"/>
      <c r="AA88" s="99"/>
      <c r="AB88" s="99"/>
      <c r="AC88" s="99"/>
      <c r="AD88" s="99"/>
      <c r="AE88" s="99"/>
      <c r="AF88" s="99"/>
      <c r="AG88" s="99"/>
      <c r="AH88" s="99"/>
      <c r="AI88" s="99"/>
      <c r="AJ88" s="99"/>
      <c r="AK88" s="99">
        <f t="shared" si="5"/>
        <v>0</v>
      </c>
      <c r="AL88" s="68"/>
      <c r="AM88" s="68"/>
      <c r="AN88" s="68"/>
      <c r="AO88" s="69"/>
    </row>
    <row r="89" spans="1:41" customFormat="1" x14ac:dyDescent="0.25">
      <c r="A89" s="85">
        <v>81</v>
      </c>
      <c r="B89" s="20" t="s">
        <v>335</v>
      </c>
      <c r="C89" s="88">
        <v>81</v>
      </c>
      <c r="D89" s="21" t="s">
        <v>293</v>
      </c>
      <c r="E89" s="18"/>
      <c r="F89" s="99" t="s">
        <v>223</v>
      </c>
      <c r="G89" s="99"/>
      <c r="H89" s="99" t="s">
        <v>223</v>
      </c>
      <c r="I89" s="99"/>
      <c r="J89" s="99"/>
      <c r="K89" s="99"/>
      <c r="L89" s="99" t="s">
        <v>223</v>
      </c>
      <c r="M89" s="99" t="s">
        <v>223</v>
      </c>
      <c r="N89" s="99"/>
      <c r="O89" s="99" t="s">
        <v>222</v>
      </c>
      <c r="P89" s="99" t="s">
        <v>222</v>
      </c>
      <c r="Q89" s="99" t="s">
        <v>222</v>
      </c>
      <c r="R89" s="99" t="s">
        <v>223</v>
      </c>
      <c r="S89" s="99" t="s">
        <v>223</v>
      </c>
      <c r="T89" s="99" t="s">
        <v>222</v>
      </c>
      <c r="U89" s="99"/>
      <c r="V89" s="99" t="s">
        <v>223</v>
      </c>
      <c r="W89" s="99"/>
      <c r="X89" s="99"/>
      <c r="Y89" s="99" t="s">
        <v>222</v>
      </c>
      <c r="Z89" s="99" t="s">
        <v>223</v>
      </c>
      <c r="AA89" s="99"/>
      <c r="AB89" s="99"/>
      <c r="AC89" s="99"/>
      <c r="AD89" s="99"/>
      <c r="AE89" s="99"/>
      <c r="AF89" s="99" t="s">
        <v>223</v>
      </c>
      <c r="AG89" s="99" t="s">
        <v>222</v>
      </c>
      <c r="AH89" s="99"/>
      <c r="AI89" s="99"/>
      <c r="AJ89" s="99" t="s">
        <v>223</v>
      </c>
      <c r="AK89" s="99">
        <f t="shared" si="5"/>
        <v>13</v>
      </c>
      <c r="AL89" s="68"/>
      <c r="AM89" s="68"/>
      <c r="AN89" s="68"/>
      <c r="AO89" s="69"/>
    </row>
    <row r="90" spans="1:41" customFormat="1" x14ac:dyDescent="0.25">
      <c r="A90" s="85">
        <v>82</v>
      </c>
      <c r="B90" s="20" t="s">
        <v>334</v>
      </c>
      <c r="C90" s="88">
        <v>82</v>
      </c>
      <c r="D90" s="21" t="s">
        <v>183</v>
      </c>
      <c r="E90" s="18"/>
      <c r="F90" s="99"/>
      <c r="G90" s="99" t="s">
        <v>223</v>
      </c>
      <c r="H90" s="99" t="s">
        <v>223</v>
      </c>
      <c r="I90" s="99"/>
      <c r="J90" s="99"/>
      <c r="K90" s="99"/>
      <c r="L90" s="99"/>
      <c r="M90" s="99"/>
      <c r="N90" s="99"/>
      <c r="O90" s="99"/>
      <c r="P90" s="99"/>
      <c r="Q90" s="99"/>
      <c r="R90" s="99"/>
      <c r="S90" s="99"/>
      <c r="T90" s="99"/>
      <c r="U90" s="99"/>
      <c r="V90" s="99"/>
      <c r="W90" s="99"/>
      <c r="X90" s="99"/>
      <c r="Y90" s="99"/>
      <c r="Z90" s="99"/>
      <c r="AA90" s="99"/>
      <c r="AB90" s="99"/>
      <c r="AC90" s="99"/>
      <c r="AD90" s="99"/>
      <c r="AE90" s="99"/>
      <c r="AF90" s="99"/>
      <c r="AG90" s="99"/>
      <c r="AH90" s="99"/>
      <c r="AI90" s="99"/>
      <c r="AJ90" s="99"/>
      <c r="AK90" s="99">
        <f t="shared" si="5"/>
        <v>2</v>
      </c>
      <c r="AL90" s="68"/>
      <c r="AM90" s="68"/>
      <c r="AN90" s="68"/>
      <c r="AO90" s="69"/>
    </row>
    <row r="91" spans="1:41" customFormat="1" x14ac:dyDescent="0.25">
      <c r="A91" s="85">
        <v>83</v>
      </c>
      <c r="B91" s="20" t="s">
        <v>343</v>
      </c>
      <c r="C91" s="88">
        <v>83</v>
      </c>
      <c r="D91" s="19" t="s">
        <v>140</v>
      </c>
      <c r="E91" s="18"/>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c r="AI91" s="99"/>
      <c r="AJ91" s="99"/>
      <c r="AK91" s="99">
        <f t="shared" si="5"/>
        <v>0</v>
      </c>
      <c r="AL91" s="68"/>
      <c r="AM91" s="68"/>
      <c r="AN91" s="68"/>
      <c r="AO91" s="69"/>
    </row>
    <row r="92" spans="1:41" customFormat="1" x14ac:dyDescent="0.25">
      <c r="A92" s="85">
        <v>84</v>
      </c>
      <c r="B92" s="20" t="s">
        <v>334</v>
      </c>
      <c r="C92" s="88">
        <v>84</v>
      </c>
      <c r="D92" s="21" t="s">
        <v>182</v>
      </c>
      <c r="E92" s="18"/>
      <c r="F92" s="99"/>
      <c r="G92" s="99"/>
      <c r="H92" s="99"/>
      <c r="I92" s="99"/>
      <c r="J92" s="99"/>
      <c r="K92" s="99"/>
      <c r="L92" s="99"/>
      <c r="M92" s="99"/>
      <c r="N92" s="99"/>
      <c r="O92" s="99"/>
      <c r="P92" s="99"/>
      <c r="Q92" s="99"/>
      <c r="R92" s="99"/>
      <c r="S92" s="99"/>
      <c r="T92" s="99"/>
      <c r="U92" s="99"/>
      <c r="V92" s="99"/>
      <c r="W92" s="99"/>
      <c r="X92" s="99"/>
      <c r="Y92" s="99"/>
      <c r="Z92" s="99"/>
      <c r="AA92" s="99"/>
      <c r="AB92" s="99"/>
      <c r="AC92" s="99"/>
      <c r="AD92" s="99"/>
      <c r="AE92" s="99"/>
      <c r="AF92" s="99"/>
      <c r="AG92" s="99"/>
      <c r="AH92" s="99"/>
      <c r="AI92" s="99"/>
      <c r="AJ92" s="99"/>
      <c r="AK92" s="99">
        <f t="shared" si="5"/>
        <v>0</v>
      </c>
      <c r="AL92" s="68"/>
      <c r="AM92" s="68"/>
      <c r="AN92" s="68"/>
      <c r="AO92" s="69"/>
    </row>
    <row r="93" spans="1:41" customFormat="1" x14ac:dyDescent="0.25">
      <c r="A93" s="85">
        <v>85</v>
      </c>
      <c r="B93" s="20" t="s">
        <v>344</v>
      </c>
      <c r="C93" s="88">
        <v>85</v>
      </c>
      <c r="D93" s="21" t="s">
        <v>181</v>
      </c>
      <c r="E93" s="18"/>
      <c r="F93" s="99" t="s">
        <v>223</v>
      </c>
      <c r="G93" s="99" t="s">
        <v>223</v>
      </c>
      <c r="H93" s="99" t="s">
        <v>222</v>
      </c>
      <c r="I93" s="99"/>
      <c r="J93" s="99"/>
      <c r="K93" s="99" t="s">
        <v>222</v>
      </c>
      <c r="L93" s="99" t="s">
        <v>223</v>
      </c>
      <c r="M93" s="99" t="s">
        <v>222</v>
      </c>
      <c r="N93" s="99" t="s">
        <v>223</v>
      </c>
      <c r="O93" s="99" t="s">
        <v>223</v>
      </c>
      <c r="P93" s="99"/>
      <c r="Q93" s="99"/>
      <c r="R93" s="99" t="s">
        <v>223</v>
      </c>
      <c r="S93" s="99" t="s">
        <v>223</v>
      </c>
      <c r="T93" s="99" t="s">
        <v>222</v>
      </c>
      <c r="U93" s="99" t="s">
        <v>222</v>
      </c>
      <c r="V93" s="99" t="s">
        <v>222</v>
      </c>
      <c r="W93" s="99"/>
      <c r="X93" s="99"/>
      <c r="Y93" s="99" t="s">
        <v>223</v>
      </c>
      <c r="Z93" s="99" t="s">
        <v>222</v>
      </c>
      <c r="AA93" s="99" t="s">
        <v>222</v>
      </c>
      <c r="AB93" s="99" t="s">
        <v>223</v>
      </c>
      <c r="AC93" s="99"/>
      <c r="AD93" s="99"/>
      <c r="AE93" s="99"/>
      <c r="AF93" s="99" t="s">
        <v>222</v>
      </c>
      <c r="AG93" s="99" t="s">
        <v>222</v>
      </c>
      <c r="AH93" s="99"/>
      <c r="AI93" s="99"/>
      <c r="AJ93" s="99"/>
      <c r="AK93" s="99">
        <f t="shared" si="5"/>
        <v>14</v>
      </c>
      <c r="AL93" s="68"/>
      <c r="AM93" s="68"/>
      <c r="AN93" s="68"/>
      <c r="AO93" s="69"/>
    </row>
    <row r="94" spans="1:41" customFormat="1" x14ac:dyDescent="0.25">
      <c r="A94" s="85">
        <v>86</v>
      </c>
      <c r="B94" s="20" t="s">
        <v>334</v>
      </c>
      <c r="C94" s="88">
        <v>86</v>
      </c>
      <c r="D94" s="21" t="s">
        <v>127</v>
      </c>
      <c r="E94" s="18"/>
      <c r="F94" s="99" t="s">
        <v>223</v>
      </c>
      <c r="G94" s="99"/>
      <c r="H94" s="99"/>
      <c r="I94" s="99"/>
      <c r="J94" s="99"/>
      <c r="K94" s="99"/>
      <c r="L94" s="99" t="s">
        <v>222</v>
      </c>
      <c r="M94" s="99" t="s">
        <v>222</v>
      </c>
      <c r="N94" s="99"/>
      <c r="O94" s="99"/>
      <c r="P94" s="99"/>
      <c r="Q94" s="99"/>
      <c r="R94" s="99" t="s">
        <v>223</v>
      </c>
      <c r="S94" s="99"/>
      <c r="T94" s="99"/>
      <c r="U94" s="99" t="s">
        <v>222</v>
      </c>
      <c r="V94" s="99" t="s">
        <v>223</v>
      </c>
      <c r="W94" s="99"/>
      <c r="X94" s="99"/>
      <c r="Y94" s="99" t="s">
        <v>223</v>
      </c>
      <c r="Z94" s="99" t="s">
        <v>223</v>
      </c>
      <c r="AA94" s="99" t="s">
        <v>222</v>
      </c>
      <c r="AB94" s="99" t="s">
        <v>222</v>
      </c>
      <c r="AC94" s="99"/>
      <c r="AD94" s="99"/>
      <c r="AE94" s="99" t="s">
        <v>222</v>
      </c>
      <c r="AF94" s="99"/>
      <c r="AG94" s="99"/>
      <c r="AH94" s="99"/>
      <c r="AI94" s="99"/>
      <c r="AJ94" s="99"/>
      <c r="AK94" s="99">
        <f t="shared" si="5"/>
        <v>8</v>
      </c>
      <c r="AL94" s="68"/>
      <c r="AM94" s="68"/>
      <c r="AN94" s="68"/>
      <c r="AO94" s="69"/>
    </row>
    <row r="95" spans="1:41" customFormat="1" x14ac:dyDescent="0.25">
      <c r="A95" s="85">
        <v>87</v>
      </c>
      <c r="B95" s="20" t="s">
        <v>334</v>
      </c>
      <c r="C95" s="88">
        <v>87</v>
      </c>
      <c r="D95" s="21" t="s">
        <v>180</v>
      </c>
      <c r="E95" s="18"/>
      <c r="F95" s="99"/>
      <c r="G95" s="99"/>
      <c r="H95" s="99"/>
      <c r="I95" s="99"/>
      <c r="J95" s="99"/>
      <c r="K95" s="99"/>
      <c r="L95" s="99"/>
      <c r="M95" s="99"/>
      <c r="N95" s="99"/>
      <c r="O95" s="99"/>
      <c r="P95" s="99"/>
      <c r="Q95" s="99"/>
      <c r="R95" s="99"/>
      <c r="S95" s="99"/>
      <c r="T95" s="99"/>
      <c r="U95" s="99"/>
      <c r="V95" s="99"/>
      <c r="W95" s="99"/>
      <c r="X95" s="99"/>
      <c r="Y95" s="99"/>
      <c r="Z95" s="99"/>
      <c r="AA95" s="99"/>
      <c r="AB95" s="99"/>
      <c r="AC95" s="99"/>
      <c r="AD95" s="99"/>
      <c r="AE95" s="99"/>
      <c r="AF95" s="99"/>
      <c r="AG95" s="99"/>
      <c r="AH95" s="99"/>
      <c r="AI95" s="99"/>
      <c r="AJ95" s="99"/>
      <c r="AK95" s="99">
        <f t="shared" si="5"/>
        <v>0</v>
      </c>
      <c r="AL95" s="68"/>
      <c r="AM95" s="68"/>
      <c r="AN95" s="68"/>
      <c r="AO95" s="69"/>
    </row>
    <row r="96" spans="1:41" customFormat="1" x14ac:dyDescent="0.25">
      <c r="A96" s="85">
        <v>88</v>
      </c>
      <c r="B96" s="20" t="s">
        <v>342</v>
      </c>
      <c r="C96" s="88">
        <v>88</v>
      </c>
      <c r="D96" s="21" t="s">
        <v>128</v>
      </c>
      <c r="E96" s="18"/>
      <c r="F96" s="99" t="s">
        <v>223</v>
      </c>
      <c r="G96" s="99" t="s">
        <v>223</v>
      </c>
      <c r="H96" s="99" t="s">
        <v>223</v>
      </c>
      <c r="I96" s="99"/>
      <c r="J96" s="99"/>
      <c r="K96" s="99" t="s">
        <v>223</v>
      </c>
      <c r="L96" s="99" t="s">
        <v>223</v>
      </c>
      <c r="M96" s="99" t="s">
        <v>223</v>
      </c>
      <c r="N96" s="99" t="s">
        <v>223</v>
      </c>
      <c r="O96" s="99" t="s">
        <v>222</v>
      </c>
      <c r="P96" s="99"/>
      <c r="Q96" s="99"/>
      <c r="R96" s="99" t="s">
        <v>223</v>
      </c>
      <c r="S96" s="99" t="s">
        <v>223</v>
      </c>
      <c r="T96" s="99" t="s">
        <v>223</v>
      </c>
      <c r="U96" s="99" t="s">
        <v>223</v>
      </c>
      <c r="V96" s="99" t="s">
        <v>223</v>
      </c>
      <c r="W96" s="99"/>
      <c r="X96" s="99"/>
      <c r="Y96" s="99" t="s">
        <v>223</v>
      </c>
      <c r="Z96" s="99" t="s">
        <v>223</v>
      </c>
      <c r="AA96" s="99" t="s">
        <v>223</v>
      </c>
      <c r="AB96" s="99" t="s">
        <v>223</v>
      </c>
      <c r="AC96" s="99" t="s">
        <v>223</v>
      </c>
      <c r="AD96" s="99"/>
      <c r="AE96" s="99"/>
      <c r="AF96" s="99" t="s">
        <v>223</v>
      </c>
      <c r="AG96" s="99" t="s">
        <v>223</v>
      </c>
      <c r="AH96" s="99" t="s">
        <v>223</v>
      </c>
      <c r="AI96" s="99" t="s">
        <v>223</v>
      </c>
      <c r="AJ96" s="99" t="s">
        <v>223</v>
      </c>
      <c r="AK96" s="99">
        <f t="shared" si="5"/>
        <v>22.5</v>
      </c>
      <c r="AL96" s="68"/>
      <c r="AM96" s="68"/>
      <c r="AN96" s="68"/>
      <c r="AO96" s="69"/>
    </row>
    <row r="97" spans="1:41" customFormat="1" x14ac:dyDescent="0.25">
      <c r="A97" s="85">
        <v>89</v>
      </c>
      <c r="B97" s="20" t="s">
        <v>345</v>
      </c>
      <c r="C97" s="88">
        <v>89</v>
      </c>
      <c r="D97" s="21" t="s">
        <v>129</v>
      </c>
      <c r="E97" s="18"/>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f t="shared" si="5"/>
        <v>0</v>
      </c>
      <c r="AL97" s="68"/>
      <c r="AM97" s="68"/>
      <c r="AN97" s="68"/>
      <c r="AO97" s="69"/>
    </row>
    <row r="98" spans="1:41" customFormat="1" x14ac:dyDescent="0.25">
      <c r="A98" s="85">
        <v>90</v>
      </c>
      <c r="B98" s="20" t="s">
        <v>345</v>
      </c>
      <c r="C98" s="88">
        <v>90</v>
      </c>
      <c r="D98" s="21" t="s">
        <v>179</v>
      </c>
      <c r="E98" s="18"/>
      <c r="F98" s="99" t="s">
        <v>223</v>
      </c>
      <c r="G98" s="99" t="s">
        <v>223</v>
      </c>
      <c r="H98" s="99" t="s">
        <v>223</v>
      </c>
      <c r="I98" s="99"/>
      <c r="J98" s="99"/>
      <c r="K98" s="99" t="s">
        <v>223</v>
      </c>
      <c r="L98" s="99" t="s">
        <v>223</v>
      </c>
      <c r="M98" s="99" t="s">
        <v>223</v>
      </c>
      <c r="N98" s="99" t="s">
        <v>223</v>
      </c>
      <c r="O98" s="99" t="s">
        <v>223</v>
      </c>
      <c r="P98" s="99"/>
      <c r="Q98" s="99"/>
      <c r="R98" s="99" t="s">
        <v>223</v>
      </c>
      <c r="S98" s="99" t="s">
        <v>223</v>
      </c>
      <c r="T98" s="99" t="s">
        <v>222</v>
      </c>
      <c r="U98" s="99" t="s">
        <v>223</v>
      </c>
      <c r="V98" s="99" t="s">
        <v>223</v>
      </c>
      <c r="W98" s="99"/>
      <c r="X98" s="99"/>
      <c r="Y98" s="99" t="s">
        <v>223</v>
      </c>
      <c r="Z98" s="99" t="s">
        <v>223</v>
      </c>
      <c r="AA98" s="99" t="s">
        <v>222</v>
      </c>
      <c r="AB98" s="99" t="s">
        <v>223</v>
      </c>
      <c r="AC98" s="99" t="s">
        <v>223</v>
      </c>
      <c r="AD98" s="99"/>
      <c r="AE98" s="99"/>
      <c r="AF98" s="99" t="s">
        <v>223</v>
      </c>
      <c r="AG98" s="99" t="s">
        <v>222</v>
      </c>
      <c r="AH98" s="99"/>
      <c r="AI98" s="99"/>
      <c r="AJ98" s="99"/>
      <c r="AK98" s="99">
        <f t="shared" si="5"/>
        <v>18.5</v>
      </c>
      <c r="AL98" s="68"/>
      <c r="AM98" s="68"/>
      <c r="AN98" s="68"/>
      <c r="AO98" s="69"/>
    </row>
    <row r="99" spans="1:41" customFormat="1" x14ac:dyDescent="0.25">
      <c r="A99" s="85">
        <v>91</v>
      </c>
      <c r="B99" s="20" t="s">
        <v>338</v>
      </c>
      <c r="C99" s="88">
        <v>91</v>
      </c>
      <c r="D99" s="19" t="s">
        <v>103</v>
      </c>
      <c r="E99" s="18"/>
      <c r="F99" s="99"/>
      <c r="G99" s="99"/>
      <c r="H99" s="99"/>
      <c r="I99" s="99"/>
      <c r="J99" s="99"/>
      <c r="K99" s="99"/>
      <c r="L99" s="99"/>
      <c r="M99" s="99"/>
      <c r="N99" s="99"/>
      <c r="O99" s="99"/>
      <c r="P99" s="99"/>
      <c r="Q99" s="99"/>
      <c r="R99" s="99"/>
      <c r="S99" s="99"/>
      <c r="T99" s="99"/>
      <c r="U99" s="99"/>
      <c r="V99" s="99"/>
      <c r="W99" s="99"/>
      <c r="X99" s="99"/>
      <c r="Y99" s="99"/>
      <c r="Z99" s="99"/>
      <c r="AA99" s="99"/>
      <c r="AB99" s="99"/>
      <c r="AC99" s="99"/>
      <c r="AD99" s="99"/>
      <c r="AE99" s="99"/>
      <c r="AF99" s="99"/>
      <c r="AG99" s="99"/>
      <c r="AH99" s="99"/>
      <c r="AI99" s="99"/>
      <c r="AJ99" s="99"/>
      <c r="AK99" s="99">
        <f t="shared" si="5"/>
        <v>0</v>
      </c>
      <c r="AL99" s="68"/>
      <c r="AM99" s="68"/>
      <c r="AN99" s="68"/>
      <c r="AO99" s="69"/>
    </row>
    <row r="100" spans="1:41" customFormat="1" x14ac:dyDescent="0.25">
      <c r="A100" s="85">
        <v>92</v>
      </c>
      <c r="B100" s="10" t="s">
        <v>334</v>
      </c>
      <c r="C100" s="88">
        <v>92</v>
      </c>
      <c r="D100" s="19" t="s">
        <v>296</v>
      </c>
      <c r="E100" s="18"/>
      <c r="F100" s="99"/>
      <c r="G100" s="99"/>
      <c r="H100" s="99"/>
      <c r="I100" s="99"/>
      <c r="J100" s="99"/>
      <c r="K100" s="99" t="s">
        <v>222</v>
      </c>
      <c r="L100" s="99"/>
      <c r="M100" s="99" t="s">
        <v>223</v>
      </c>
      <c r="N100" s="99" t="s">
        <v>223</v>
      </c>
      <c r="O100" s="99"/>
      <c r="P100" s="99"/>
      <c r="Q100" s="99"/>
      <c r="R100" s="99" t="s">
        <v>223</v>
      </c>
      <c r="S100" s="99" t="s">
        <v>222</v>
      </c>
      <c r="T100" s="99"/>
      <c r="U100" s="99" t="s">
        <v>223</v>
      </c>
      <c r="V100" s="99" t="s">
        <v>222</v>
      </c>
      <c r="W100" s="99"/>
      <c r="X100" s="99"/>
      <c r="Y100" s="99" t="s">
        <v>223</v>
      </c>
      <c r="Z100" s="99" t="s">
        <v>223</v>
      </c>
      <c r="AA100" s="99" t="s">
        <v>222</v>
      </c>
      <c r="AB100" s="99"/>
      <c r="AC100" s="99" t="s">
        <v>223</v>
      </c>
      <c r="AD100" s="99"/>
      <c r="AE100" s="99"/>
      <c r="AF100" s="99" t="s">
        <v>222</v>
      </c>
      <c r="AG100" s="99"/>
      <c r="AH100" s="99" t="s">
        <v>222</v>
      </c>
      <c r="AI100" s="99" t="s">
        <v>222</v>
      </c>
      <c r="AJ100" s="99"/>
      <c r="AK100" s="99">
        <f t="shared" si="5"/>
        <v>10.5</v>
      </c>
      <c r="AL100" s="68"/>
      <c r="AM100" s="68"/>
      <c r="AN100" s="68"/>
      <c r="AO100" s="69"/>
    </row>
    <row r="101" spans="1:41" customFormat="1" x14ac:dyDescent="0.25">
      <c r="A101" s="85">
        <v>93</v>
      </c>
      <c r="B101" s="20" t="s">
        <v>335</v>
      </c>
      <c r="C101" s="88">
        <v>93</v>
      </c>
      <c r="D101" s="21" t="s">
        <v>131</v>
      </c>
      <c r="E101" s="18"/>
      <c r="F101" s="99" t="s">
        <v>222</v>
      </c>
      <c r="G101" s="99" t="s">
        <v>223</v>
      </c>
      <c r="H101" s="99" t="s">
        <v>222</v>
      </c>
      <c r="I101" s="99"/>
      <c r="J101" s="99"/>
      <c r="K101" s="99"/>
      <c r="L101" s="99" t="s">
        <v>222</v>
      </c>
      <c r="M101" s="99" t="s">
        <v>223</v>
      </c>
      <c r="N101" s="99" t="s">
        <v>223</v>
      </c>
      <c r="O101" s="99" t="s">
        <v>223</v>
      </c>
      <c r="P101" s="99"/>
      <c r="Q101" s="99"/>
      <c r="R101" s="99" t="s">
        <v>223</v>
      </c>
      <c r="S101" s="99" t="s">
        <v>222</v>
      </c>
      <c r="T101" s="99" t="s">
        <v>222</v>
      </c>
      <c r="U101" s="99" t="s">
        <v>223</v>
      </c>
      <c r="V101" s="99" t="s">
        <v>223</v>
      </c>
      <c r="W101" s="99"/>
      <c r="X101" s="99"/>
      <c r="Y101" s="99" t="s">
        <v>223</v>
      </c>
      <c r="Z101" s="99" t="s">
        <v>222</v>
      </c>
      <c r="AA101" s="99"/>
      <c r="AB101" s="99" t="s">
        <v>223</v>
      </c>
      <c r="AC101" s="99" t="s">
        <v>222</v>
      </c>
      <c r="AD101" s="99"/>
      <c r="AE101" s="99"/>
      <c r="AF101" s="99" t="s">
        <v>223</v>
      </c>
      <c r="AG101" s="99" t="s">
        <v>223</v>
      </c>
      <c r="AH101" s="99"/>
      <c r="AI101" s="99" t="s">
        <v>223</v>
      </c>
      <c r="AJ101" s="99"/>
      <c r="AK101" s="99">
        <f t="shared" si="5"/>
        <v>15.5</v>
      </c>
      <c r="AL101" s="68"/>
      <c r="AM101" s="68"/>
      <c r="AN101" s="68"/>
      <c r="AO101" s="69"/>
    </row>
    <row r="102" spans="1:41" customFormat="1" x14ac:dyDescent="0.25">
      <c r="A102" s="85">
        <v>94</v>
      </c>
      <c r="B102" s="20" t="s">
        <v>333</v>
      </c>
      <c r="C102" s="88">
        <v>94</v>
      </c>
      <c r="D102" s="21" t="s">
        <v>132</v>
      </c>
      <c r="E102" s="18"/>
      <c r="F102" s="99" t="s">
        <v>223</v>
      </c>
      <c r="G102" s="99" t="s">
        <v>223</v>
      </c>
      <c r="H102" s="99" t="s">
        <v>223</v>
      </c>
      <c r="I102" s="99"/>
      <c r="J102" s="99"/>
      <c r="K102" s="99"/>
      <c r="L102" s="99" t="s">
        <v>222</v>
      </c>
      <c r="M102" s="99" t="s">
        <v>223</v>
      </c>
      <c r="N102" s="99"/>
      <c r="O102" s="99"/>
      <c r="P102" s="99"/>
      <c r="Q102" s="99"/>
      <c r="R102" s="99" t="s">
        <v>223</v>
      </c>
      <c r="S102" s="99" t="s">
        <v>223</v>
      </c>
      <c r="T102" s="99" t="s">
        <v>223</v>
      </c>
      <c r="U102" s="99" t="s">
        <v>222</v>
      </c>
      <c r="V102" s="99" t="s">
        <v>222</v>
      </c>
      <c r="W102" s="99"/>
      <c r="X102" s="99"/>
      <c r="Y102" s="99" t="s">
        <v>223</v>
      </c>
      <c r="Z102" s="99" t="s">
        <v>223</v>
      </c>
      <c r="AA102" s="99" t="s">
        <v>222</v>
      </c>
      <c r="AB102" s="99" t="s">
        <v>223</v>
      </c>
      <c r="AC102" s="99" t="s">
        <v>223</v>
      </c>
      <c r="AD102" s="99"/>
      <c r="AE102" s="99"/>
      <c r="AF102" s="99" t="s">
        <v>223</v>
      </c>
      <c r="AG102" s="99" t="s">
        <v>222</v>
      </c>
      <c r="AH102" s="99" t="s">
        <v>222</v>
      </c>
      <c r="AI102" s="99"/>
      <c r="AJ102" s="99"/>
      <c r="AK102" s="99">
        <f t="shared" si="5"/>
        <v>15</v>
      </c>
      <c r="AL102" s="68"/>
      <c r="AM102" s="68"/>
      <c r="AN102" s="68"/>
      <c r="AO102" s="69"/>
    </row>
    <row r="103" spans="1:41" customFormat="1" x14ac:dyDescent="0.25">
      <c r="A103" s="85">
        <v>95</v>
      </c>
      <c r="B103" s="20" t="s">
        <v>335</v>
      </c>
      <c r="C103" s="88">
        <v>95</v>
      </c>
      <c r="D103" s="21" t="s">
        <v>133</v>
      </c>
      <c r="E103" s="18"/>
      <c r="F103" s="99" t="s">
        <v>223</v>
      </c>
      <c r="G103" s="99" t="s">
        <v>222</v>
      </c>
      <c r="H103" s="99" t="s">
        <v>222</v>
      </c>
      <c r="I103" s="99"/>
      <c r="J103" s="99"/>
      <c r="K103" s="99" t="s">
        <v>223</v>
      </c>
      <c r="L103" s="99"/>
      <c r="M103" s="99" t="s">
        <v>222</v>
      </c>
      <c r="N103" s="99" t="s">
        <v>223</v>
      </c>
      <c r="O103" s="99" t="s">
        <v>222</v>
      </c>
      <c r="P103" s="99"/>
      <c r="Q103" s="99"/>
      <c r="R103" s="99" t="s">
        <v>223</v>
      </c>
      <c r="S103" s="99" t="s">
        <v>222</v>
      </c>
      <c r="T103" s="99" t="s">
        <v>222</v>
      </c>
      <c r="U103" s="99" t="s">
        <v>222</v>
      </c>
      <c r="V103" s="99"/>
      <c r="W103" s="99"/>
      <c r="X103" s="99"/>
      <c r="Y103" s="99" t="s">
        <v>223</v>
      </c>
      <c r="Z103" s="99"/>
      <c r="AA103" s="99" t="s">
        <v>223</v>
      </c>
      <c r="AB103" s="99" t="s">
        <v>222</v>
      </c>
      <c r="AC103" s="99" t="s">
        <v>223</v>
      </c>
      <c r="AD103" s="99"/>
      <c r="AE103" s="99"/>
      <c r="AF103" s="99"/>
      <c r="AG103" s="99"/>
      <c r="AH103" s="99"/>
      <c r="AI103" s="99"/>
      <c r="AJ103" s="99" t="s">
        <v>222</v>
      </c>
      <c r="AK103" s="99">
        <f t="shared" si="5"/>
        <v>11.5</v>
      </c>
      <c r="AL103" s="68"/>
      <c r="AM103" s="68"/>
      <c r="AN103" s="68"/>
      <c r="AO103" s="69"/>
    </row>
    <row r="104" spans="1:41" customFormat="1" x14ac:dyDescent="0.25">
      <c r="A104" s="85">
        <v>96</v>
      </c>
      <c r="B104" s="20" t="s">
        <v>342</v>
      </c>
      <c r="C104" s="88">
        <v>96</v>
      </c>
      <c r="D104" s="21" t="s">
        <v>177</v>
      </c>
      <c r="E104" s="18"/>
      <c r="F104" s="99" t="s">
        <v>223</v>
      </c>
      <c r="G104" s="99" t="s">
        <v>223</v>
      </c>
      <c r="H104" s="99" t="s">
        <v>222</v>
      </c>
      <c r="I104" s="99"/>
      <c r="J104" s="99"/>
      <c r="K104" s="99" t="s">
        <v>223</v>
      </c>
      <c r="L104" s="99" t="s">
        <v>222</v>
      </c>
      <c r="M104" s="99" t="s">
        <v>223</v>
      </c>
      <c r="N104" s="99" t="s">
        <v>222</v>
      </c>
      <c r="O104" s="99" t="s">
        <v>222</v>
      </c>
      <c r="P104" s="99"/>
      <c r="Q104" s="99"/>
      <c r="R104" s="99" t="s">
        <v>223</v>
      </c>
      <c r="S104" s="99"/>
      <c r="T104" s="99"/>
      <c r="U104" s="99"/>
      <c r="V104" s="99"/>
      <c r="W104" s="99"/>
      <c r="X104" s="99"/>
      <c r="Y104" s="99" t="s">
        <v>223</v>
      </c>
      <c r="Z104" s="99" t="s">
        <v>223</v>
      </c>
      <c r="AA104" s="99" t="s">
        <v>223</v>
      </c>
      <c r="AB104" s="99" t="s">
        <v>223</v>
      </c>
      <c r="AC104" s="99"/>
      <c r="AD104" s="99"/>
      <c r="AE104" s="99"/>
      <c r="AF104" s="99"/>
      <c r="AG104" s="99"/>
      <c r="AH104" s="99"/>
      <c r="AI104" s="99"/>
      <c r="AJ104" s="99"/>
      <c r="AK104" s="99">
        <f t="shared" si="5"/>
        <v>11</v>
      </c>
      <c r="AL104" s="68"/>
      <c r="AM104" s="68"/>
      <c r="AN104" s="68"/>
      <c r="AO104" s="69"/>
    </row>
    <row r="105" spans="1:41" customFormat="1" x14ac:dyDescent="0.25">
      <c r="A105" s="85">
        <v>97</v>
      </c>
      <c r="B105" s="20" t="s">
        <v>341</v>
      </c>
      <c r="C105" s="88">
        <v>97</v>
      </c>
      <c r="D105" s="19" t="s">
        <v>295</v>
      </c>
      <c r="E105" s="18"/>
      <c r="F105" s="99" t="s">
        <v>223</v>
      </c>
      <c r="G105" s="99" t="s">
        <v>223</v>
      </c>
      <c r="H105" s="99" t="s">
        <v>223</v>
      </c>
      <c r="I105" s="99"/>
      <c r="J105" s="99"/>
      <c r="K105" s="99" t="s">
        <v>223</v>
      </c>
      <c r="L105" s="99" t="s">
        <v>223</v>
      </c>
      <c r="M105" s="99" t="s">
        <v>223</v>
      </c>
      <c r="N105" s="99" t="s">
        <v>223</v>
      </c>
      <c r="O105" s="99" t="s">
        <v>223</v>
      </c>
      <c r="P105" s="99"/>
      <c r="Q105" s="99"/>
      <c r="R105" s="99" t="s">
        <v>223</v>
      </c>
      <c r="S105" s="99" t="s">
        <v>223</v>
      </c>
      <c r="T105" s="99" t="s">
        <v>223</v>
      </c>
      <c r="U105" s="99" t="s">
        <v>223</v>
      </c>
      <c r="V105" s="99" t="s">
        <v>223</v>
      </c>
      <c r="W105" s="99"/>
      <c r="X105" s="99"/>
      <c r="Y105" s="99" t="s">
        <v>223</v>
      </c>
      <c r="Z105" s="99" t="s">
        <v>223</v>
      </c>
      <c r="AA105" s="99" t="s">
        <v>222</v>
      </c>
      <c r="AB105" s="99"/>
      <c r="AC105" s="99"/>
      <c r="AD105" s="99"/>
      <c r="AE105" s="99"/>
      <c r="AF105" s="99" t="s">
        <v>223</v>
      </c>
      <c r="AG105" s="99" t="s">
        <v>223</v>
      </c>
      <c r="AH105" s="99" t="s">
        <v>223</v>
      </c>
      <c r="AI105" s="99" t="s">
        <v>223</v>
      </c>
      <c r="AJ105" s="99" t="s">
        <v>223</v>
      </c>
      <c r="AK105" s="99">
        <f t="shared" ref="AK105:AK118" si="6">COUNTIF(F105:AJ105,"x")+COUNTIF(F105:AJ105,"x/2")*0.5</f>
        <v>20.5</v>
      </c>
      <c r="AL105" s="68"/>
      <c r="AM105" s="68"/>
      <c r="AN105" s="68"/>
      <c r="AO105" s="69"/>
    </row>
    <row r="106" spans="1:41" customFormat="1" x14ac:dyDescent="0.25">
      <c r="A106" s="85">
        <v>98</v>
      </c>
      <c r="B106" s="20" t="s">
        <v>335</v>
      </c>
      <c r="C106" s="88">
        <v>98</v>
      </c>
      <c r="D106" s="21" t="s">
        <v>176</v>
      </c>
      <c r="E106" s="18"/>
      <c r="F106" s="99"/>
      <c r="G106" s="99"/>
      <c r="H106" s="99"/>
      <c r="I106" s="99"/>
      <c r="J106" s="99"/>
      <c r="K106" s="99"/>
      <c r="L106" s="99"/>
      <c r="M106" s="99"/>
      <c r="N106" s="99"/>
      <c r="O106" s="99"/>
      <c r="P106" s="99"/>
      <c r="Q106" s="99"/>
      <c r="R106" s="99"/>
      <c r="S106" s="99"/>
      <c r="T106" s="99"/>
      <c r="U106" s="99"/>
      <c r="V106" s="99"/>
      <c r="W106" s="99"/>
      <c r="X106" s="99"/>
      <c r="Y106" s="99"/>
      <c r="Z106" s="99"/>
      <c r="AA106" s="99"/>
      <c r="AB106" s="99"/>
      <c r="AC106" s="99"/>
      <c r="AD106" s="99"/>
      <c r="AE106" s="99"/>
      <c r="AF106" s="99"/>
      <c r="AG106" s="99"/>
      <c r="AH106" s="99"/>
      <c r="AI106" s="99"/>
      <c r="AJ106" s="99"/>
      <c r="AK106" s="99">
        <f t="shared" si="6"/>
        <v>0</v>
      </c>
      <c r="AL106" s="68"/>
      <c r="AM106" s="68"/>
      <c r="AN106" s="68"/>
      <c r="AO106" s="69"/>
    </row>
    <row r="107" spans="1:41" customFormat="1" x14ac:dyDescent="0.25">
      <c r="A107" s="85">
        <v>99</v>
      </c>
      <c r="B107" s="20" t="s">
        <v>341</v>
      </c>
      <c r="C107" s="88">
        <v>99</v>
      </c>
      <c r="D107" s="21" t="s">
        <v>175</v>
      </c>
      <c r="E107" s="18"/>
      <c r="F107" s="99"/>
      <c r="G107" s="99" t="s">
        <v>222</v>
      </c>
      <c r="H107" s="99"/>
      <c r="I107" s="99"/>
      <c r="J107" s="99"/>
      <c r="K107" s="99" t="s">
        <v>223</v>
      </c>
      <c r="L107" s="99" t="s">
        <v>222</v>
      </c>
      <c r="M107" s="99" t="s">
        <v>223</v>
      </c>
      <c r="N107" s="99" t="s">
        <v>222</v>
      </c>
      <c r="O107" s="99"/>
      <c r="P107" s="99"/>
      <c r="Q107" s="99"/>
      <c r="R107" s="99" t="s">
        <v>222</v>
      </c>
      <c r="S107" s="99"/>
      <c r="T107" s="99"/>
      <c r="U107" s="99"/>
      <c r="V107" s="99"/>
      <c r="W107" s="99"/>
      <c r="X107" s="99"/>
      <c r="Y107" s="99" t="s">
        <v>222</v>
      </c>
      <c r="Z107" s="99"/>
      <c r="AA107" s="99"/>
      <c r="AB107" s="99"/>
      <c r="AC107" s="99"/>
      <c r="AD107" s="99"/>
      <c r="AE107" s="99"/>
      <c r="AF107" s="99"/>
      <c r="AG107" s="99"/>
      <c r="AH107" s="99"/>
      <c r="AI107" s="99"/>
      <c r="AJ107" s="99"/>
      <c r="AK107" s="99">
        <f t="shared" si="6"/>
        <v>4.5</v>
      </c>
      <c r="AL107" s="68"/>
      <c r="AM107" s="68"/>
      <c r="AN107" s="68"/>
      <c r="AO107" s="69"/>
    </row>
    <row r="108" spans="1:41" customFormat="1" x14ac:dyDescent="0.25">
      <c r="A108" s="85">
        <v>100</v>
      </c>
      <c r="B108" s="20" t="s">
        <v>336</v>
      </c>
      <c r="C108" s="88">
        <v>100</v>
      </c>
      <c r="D108" s="21" t="s">
        <v>174</v>
      </c>
      <c r="E108" s="18"/>
      <c r="F108" s="99"/>
      <c r="G108" s="99"/>
      <c r="H108" s="99"/>
      <c r="I108" s="99"/>
      <c r="J108" s="99"/>
      <c r="K108" s="99"/>
      <c r="L108" s="99"/>
      <c r="M108" s="99"/>
      <c r="N108" s="99"/>
      <c r="O108" s="99"/>
      <c r="P108" s="99"/>
      <c r="Q108" s="99"/>
      <c r="R108" s="99"/>
      <c r="S108" s="99"/>
      <c r="T108" s="99"/>
      <c r="U108" s="99"/>
      <c r="V108" s="99"/>
      <c r="W108" s="99"/>
      <c r="X108" s="99"/>
      <c r="Y108" s="99"/>
      <c r="Z108" s="99"/>
      <c r="AA108" s="99"/>
      <c r="AB108" s="99"/>
      <c r="AC108" s="99"/>
      <c r="AD108" s="99"/>
      <c r="AE108" s="99"/>
      <c r="AF108" s="99"/>
      <c r="AG108" s="99"/>
      <c r="AH108" s="99"/>
      <c r="AI108" s="99"/>
      <c r="AJ108" s="99"/>
      <c r="AK108" s="99">
        <f t="shared" si="6"/>
        <v>0</v>
      </c>
      <c r="AL108" s="68"/>
      <c r="AM108" s="68"/>
      <c r="AN108" s="68"/>
      <c r="AO108" s="69"/>
    </row>
    <row r="109" spans="1:41" customFormat="1" x14ac:dyDescent="0.25">
      <c r="A109" s="85">
        <v>101</v>
      </c>
      <c r="B109" s="20" t="s">
        <v>342</v>
      </c>
      <c r="C109" s="88">
        <v>101</v>
      </c>
      <c r="D109" s="21" t="s">
        <v>173</v>
      </c>
      <c r="E109" s="18"/>
      <c r="F109" s="99" t="s">
        <v>223</v>
      </c>
      <c r="G109" s="99" t="s">
        <v>222</v>
      </c>
      <c r="H109" s="99" t="s">
        <v>223</v>
      </c>
      <c r="I109" s="99"/>
      <c r="J109" s="99"/>
      <c r="K109" s="99" t="s">
        <v>222</v>
      </c>
      <c r="L109" s="99" t="s">
        <v>223</v>
      </c>
      <c r="M109" s="99" t="s">
        <v>223</v>
      </c>
      <c r="N109" s="99" t="s">
        <v>223</v>
      </c>
      <c r="O109" s="99" t="s">
        <v>222</v>
      </c>
      <c r="P109" s="99"/>
      <c r="Q109" s="99"/>
      <c r="R109" s="99" t="s">
        <v>223</v>
      </c>
      <c r="S109" s="99" t="s">
        <v>223</v>
      </c>
      <c r="T109" s="99" t="s">
        <v>222</v>
      </c>
      <c r="U109" s="99" t="s">
        <v>222</v>
      </c>
      <c r="V109" s="99" t="s">
        <v>222</v>
      </c>
      <c r="W109" s="99"/>
      <c r="X109" s="99"/>
      <c r="Y109" s="99" t="s">
        <v>223</v>
      </c>
      <c r="Z109" s="99" t="s">
        <v>223</v>
      </c>
      <c r="AA109" s="99"/>
      <c r="AB109" s="99"/>
      <c r="AC109" s="99"/>
      <c r="AD109" s="99"/>
      <c r="AE109" s="99"/>
      <c r="AF109" s="99" t="s">
        <v>222</v>
      </c>
      <c r="AG109" s="99"/>
      <c r="AH109" s="99"/>
      <c r="AI109" s="99"/>
      <c r="AJ109" s="99"/>
      <c r="AK109" s="99">
        <f t="shared" si="6"/>
        <v>12.5</v>
      </c>
      <c r="AL109" s="68"/>
      <c r="AM109" s="68"/>
      <c r="AN109" s="68"/>
      <c r="AO109" s="69"/>
    </row>
    <row r="110" spans="1:41" customFormat="1" x14ac:dyDescent="0.25">
      <c r="A110" s="85">
        <v>102</v>
      </c>
      <c r="B110" s="20" t="s">
        <v>335</v>
      </c>
      <c r="C110" s="88">
        <v>102</v>
      </c>
      <c r="D110" s="21" t="s">
        <v>135</v>
      </c>
      <c r="E110" s="18"/>
      <c r="F110" s="99"/>
      <c r="G110" s="99" t="s">
        <v>222</v>
      </c>
      <c r="H110" s="99"/>
      <c r="I110" s="99"/>
      <c r="J110" s="99"/>
      <c r="K110" s="99" t="s">
        <v>222</v>
      </c>
      <c r="L110" s="99" t="s">
        <v>222</v>
      </c>
      <c r="M110" s="99"/>
      <c r="N110" s="99" t="s">
        <v>223</v>
      </c>
      <c r="O110" s="99" t="s">
        <v>223</v>
      </c>
      <c r="P110" s="99"/>
      <c r="Q110" s="99"/>
      <c r="R110" s="99"/>
      <c r="S110" s="99" t="s">
        <v>222</v>
      </c>
      <c r="T110" s="99" t="s">
        <v>223</v>
      </c>
      <c r="U110" s="99" t="s">
        <v>223</v>
      </c>
      <c r="V110" s="99" t="s">
        <v>222</v>
      </c>
      <c r="W110" s="99"/>
      <c r="X110" s="99"/>
      <c r="Y110" s="99" t="s">
        <v>223</v>
      </c>
      <c r="Z110" s="99" t="s">
        <v>222</v>
      </c>
      <c r="AA110" s="99" t="s">
        <v>222</v>
      </c>
      <c r="AB110" s="99"/>
      <c r="AC110" s="99" t="s">
        <v>222</v>
      </c>
      <c r="AD110" s="99"/>
      <c r="AE110" s="99"/>
      <c r="AF110" s="99" t="s">
        <v>222</v>
      </c>
      <c r="AG110" s="99"/>
      <c r="AH110" s="99"/>
      <c r="AI110" s="99"/>
      <c r="AJ110" s="99"/>
      <c r="AK110" s="99">
        <f t="shared" si="6"/>
        <v>9.5</v>
      </c>
      <c r="AL110" s="68"/>
      <c r="AM110" s="68"/>
      <c r="AN110" s="68"/>
      <c r="AO110" s="69"/>
    </row>
    <row r="111" spans="1:41" customFormat="1" x14ac:dyDescent="0.25">
      <c r="A111" s="85">
        <v>103</v>
      </c>
      <c r="B111" s="20" t="s">
        <v>336</v>
      </c>
      <c r="C111" s="88">
        <v>103</v>
      </c>
      <c r="D111" s="21" t="s">
        <v>172</v>
      </c>
      <c r="E111" s="18"/>
      <c r="F111" s="99" t="s">
        <v>223</v>
      </c>
      <c r="G111" s="99" t="s">
        <v>223</v>
      </c>
      <c r="H111" s="99" t="s">
        <v>222</v>
      </c>
      <c r="I111" s="99"/>
      <c r="J111" s="99"/>
      <c r="K111" s="99" t="s">
        <v>223</v>
      </c>
      <c r="L111" s="99"/>
      <c r="M111" s="99" t="s">
        <v>222</v>
      </c>
      <c r="N111" s="99" t="s">
        <v>223</v>
      </c>
      <c r="O111" s="99"/>
      <c r="P111" s="99"/>
      <c r="Q111" s="99"/>
      <c r="R111" s="99" t="s">
        <v>222</v>
      </c>
      <c r="S111" s="99" t="s">
        <v>222</v>
      </c>
      <c r="T111" s="99" t="s">
        <v>222</v>
      </c>
      <c r="U111" s="99"/>
      <c r="V111" s="99"/>
      <c r="W111" s="99"/>
      <c r="X111" s="99"/>
      <c r="Y111" s="99" t="s">
        <v>222</v>
      </c>
      <c r="Z111" s="99"/>
      <c r="AA111" s="99" t="s">
        <v>223</v>
      </c>
      <c r="AB111" s="99" t="s">
        <v>223</v>
      </c>
      <c r="AC111" s="99"/>
      <c r="AD111" s="99"/>
      <c r="AE111" s="99"/>
      <c r="AF111" s="99" t="s">
        <v>222</v>
      </c>
      <c r="AG111" s="99"/>
      <c r="AH111" s="99"/>
      <c r="AI111" s="99"/>
      <c r="AJ111" s="99"/>
      <c r="AK111" s="99">
        <f t="shared" si="6"/>
        <v>9.5</v>
      </c>
      <c r="AL111" s="68"/>
      <c r="AM111" s="68"/>
      <c r="AN111" s="68"/>
      <c r="AO111" s="69"/>
    </row>
    <row r="112" spans="1:41" customFormat="1" x14ac:dyDescent="0.25">
      <c r="A112" s="85">
        <v>104</v>
      </c>
      <c r="B112" s="20" t="s">
        <v>334</v>
      </c>
      <c r="C112" s="88">
        <v>104</v>
      </c>
      <c r="D112" s="21" t="s">
        <v>171</v>
      </c>
      <c r="E112" s="18"/>
      <c r="F112" s="99"/>
      <c r="G112" s="99" t="s">
        <v>222</v>
      </c>
      <c r="H112" s="99"/>
      <c r="I112" s="99"/>
      <c r="J112" s="99"/>
      <c r="K112" s="99"/>
      <c r="L112" s="99" t="s">
        <v>223</v>
      </c>
      <c r="M112" s="99"/>
      <c r="N112" s="99"/>
      <c r="O112" s="99" t="s">
        <v>223</v>
      </c>
      <c r="P112" s="99"/>
      <c r="Q112" s="99"/>
      <c r="R112" s="99"/>
      <c r="S112" s="99"/>
      <c r="T112" s="99"/>
      <c r="U112" s="99"/>
      <c r="V112" s="99"/>
      <c r="W112" s="99"/>
      <c r="X112" s="99"/>
      <c r="Y112" s="99"/>
      <c r="Z112" s="99"/>
      <c r="AA112" s="99"/>
      <c r="AB112" s="99"/>
      <c r="AC112" s="99"/>
      <c r="AD112" s="99"/>
      <c r="AE112" s="99"/>
      <c r="AF112" s="99"/>
      <c r="AG112" s="99"/>
      <c r="AH112" s="99"/>
      <c r="AI112" s="99"/>
      <c r="AJ112" s="99"/>
      <c r="AK112" s="99">
        <f t="shared" si="6"/>
        <v>2.5</v>
      </c>
      <c r="AL112" s="68"/>
      <c r="AM112" s="68"/>
      <c r="AN112" s="68"/>
      <c r="AO112" s="69"/>
    </row>
    <row r="113" spans="1:371" customFormat="1" x14ac:dyDescent="0.25">
      <c r="A113" s="85">
        <v>105</v>
      </c>
      <c r="B113" s="20" t="s">
        <v>335</v>
      </c>
      <c r="C113" s="88">
        <v>105</v>
      </c>
      <c r="D113" s="21" t="s">
        <v>136</v>
      </c>
      <c r="E113" s="18"/>
      <c r="F113" s="99" t="s">
        <v>222</v>
      </c>
      <c r="G113" s="99"/>
      <c r="H113" s="99" t="s">
        <v>223</v>
      </c>
      <c r="I113" s="99"/>
      <c r="J113" s="99"/>
      <c r="K113" s="99"/>
      <c r="L113" s="99" t="s">
        <v>222</v>
      </c>
      <c r="M113" s="99"/>
      <c r="N113" s="99"/>
      <c r="O113" s="99"/>
      <c r="P113" s="99"/>
      <c r="Q113" s="99"/>
      <c r="R113" s="99"/>
      <c r="S113" s="99"/>
      <c r="T113" s="99"/>
      <c r="U113" s="99" t="s">
        <v>222</v>
      </c>
      <c r="V113" s="99"/>
      <c r="W113" s="99"/>
      <c r="X113" s="99"/>
      <c r="Y113" s="99"/>
      <c r="Z113" s="99"/>
      <c r="AA113" s="99"/>
      <c r="AB113" s="99"/>
      <c r="AC113" s="99"/>
      <c r="AD113" s="99"/>
      <c r="AE113" s="99"/>
      <c r="AF113" s="99"/>
      <c r="AG113" s="99"/>
      <c r="AH113" s="99"/>
      <c r="AI113" s="99"/>
      <c r="AJ113" s="99"/>
      <c r="AK113" s="99">
        <f t="shared" si="6"/>
        <v>2.5</v>
      </c>
      <c r="AL113" s="68"/>
      <c r="AM113" s="68"/>
      <c r="AN113" s="68"/>
      <c r="AO113" s="69"/>
    </row>
    <row r="114" spans="1:371" customFormat="1" x14ac:dyDescent="0.25">
      <c r="A114" s="85">
        <v>106</v>
      </c>
      <c r="B114" s="20" t="s">
        <v>344</v>
      </c>
      <c r="C114" s="88">
        <v>106</v>
      </c>
      <c r="D114" s="21" t="s">
        <v>137</v>
      </c>
      <c r="E114" s="18"/>
      <c r="F114" s="99"/>
      <c r="G114" s="99"/>
      <c r="H114" s="99"/>
      <c r="I114" s="99"/>
      <c r="J114" s="99"/>
      <c r="K114" s="99"/>
      <c r="L114" s="99"/>
      <c r="M114" s="99"/>
      <c r="N114" s="99"/>
      <c r="O114" s="99"/>
      <c r="P114" s="99"/>
      <c r="Q114" s="99"/>
      <c r="R114" s="99"/>
      <c r="S114" s="99"/>
      <c r="T114" s="99"/>
      <c r="U114" s="99"/>
      <c r="V114" s="99"/>
      <c r="W114" s="99"/>
      <c r="X114" s="99"/>
      <c r="Y114" s="99"/>
      <c r="Z114" s="99"/>
      <c r="AA114" s="99"/>
      <c r="AB114" s="99"/>
      <c r="AC114" s="99"/>
      <c r="AD114" s="99"/>
      <c r="AE114" s="99"/>
      <c r="AF114" s="99"/>
      <c r="AG114" s="99"/>
      <c r="AH114" s="99"/>
      <c r="AI114" s="99"/>
      <c r="AJ114" s="99"/>
      <c r="AK114" s="99">
        <f t="shared" si="6"/>
        <v>0</v>
      </c>
      <c r="AL114" s="68"/>
      <c r="AM114" s="68"/>
      <c r="AN114" s="68"/>
      <c r="AO114" s="69"/>
    </row>
    <row r="115" spans="1:371" customFormat="1" x14ac:dyDescent="0.25">
      <c r="A115" s="85">
        <v>107</v>
      </c>
      <c r="B115" s="20" t="s">
        <v>333</v>
      </c>
      <c r="C115" s="88">
        <v>107</v>
      </c>
      <c r="D115" s="21" t="s">
        <v>170</v>
      </c>
      <c r="E115" s="18"/>
      <c r="F115" s="99" t="s">
        <v>223</v>
      </c>
      <c r="G115" s="99" t="s">
        <v>222</v>
      </c>
      <c r="H115" s="99" t="s">
        <v>223</v>
      </c>
      <c r="I115" s="99"/>
      <c r="J115" s="99"/>
      <c r="K115" s="99" t="s">
        <v>222</v>
      </c>
      <c r="L115" s="99" t="s">
        <v>223</v>
      </c>
      <c r="M115" s="99" t="s">
        <v>223</v>
      </c>
      <c r="N115" s="99" t="s">
        <v>223</v>
      </c>
      <c r="O115" s="99" t="s">
        <v>223</v>
      </c>
      <c r="P115" s="99"/>
      <c r="Q115" s="99"/>
      <c r="R115" s="99" t="s">
        <v>223</v>
      </c>
      <c r="S115" s="99" t="s">
        <v>223</v>
      </c>
      <c r="T115" s="99" t="s">
        <v>223</v>
      </c>
      <c r="U115" s="99" t="s">
        <v>223</v>
      </c>
      <c r="V115" s="99" t="s">
        <v>223</v>
      </c>
      <c r="W115" s="99"/>
      <c r="X115" s="99"/>
      <c r="Y115" s="99" t="s">
        <v>223</v>
      </c>
      <c r="Z115" s="99" t="s">
        <v>223</v>
      </c>
      <c r="AA115" s="99" t="s">
        <v>222</v>
      </c>
      <c r="AB115" s="99" t="s">
        <v>223</v>
      </c>
      <c r="AC115" s="99" t="s">
        <v>223</v>
      </c>
      <c r="AD115" s="99"/>
      <c r="AE115" s="99"/>
      <c r="AF115" s="99" t="s">
        <v>223</v>
      </c>
      <c r="AG115" s="99" t="s">
        <v>223</v>
      </c>
      <c r="AH115" s="99" t="s">
        <v>222</v>
      </c>
      <c r="AI115" s="99"/>
      <c r="AJ115" s="99"/>
      <c r="AK115" s="99">
        <f t="shared" si="6"/>
        <v>19</v>
      </c>
      <c r="AL115" s="68"/>
      <c r="AM115" s="68"/>
      <c r="AN115" s="68"/>
      <c r="AO115" s="69"/>
    </row>
    <row r="116" spans="1:371" customFormat="1" x14ac:dyDescent="0.25">
      <c r="A116" s="85">
        <v>108</v>
      </c>
      <c r="B116" s="20" t="s">
        <v>334</v>
      </c>
      <c r="C116" s="88">
        <v>108</v>
      </c>
      <c r="D116" s="21" t="s">
        <v>169</v>
      </c>
      <c r="E116" s="18"/>
      <c r="F116" s="99" t="s">
        <v>223</v>
      </c>
      <c r="G116" s="99" t="s">
        <v>222</v>
      </c>
      <c r="H116" s="99" t="s">
        <v>222</v>
      </c>
      <c r="I116" s="99" t="s">
        <v>222</v>
      </c>
      <c r="J116" s="99"/>
      <c r="K116" s="99" t="s">
        <v>223</v>
      </c>
      <c r="L116" s="99" t="s">
        <v>222</v>
      </c>
      <c r="M116" s="99"/>
      <c r="N116" s="99" t="s">
        <v>222</v>
      </c>
      <c r="O116" s="99" t="s">
        <v>222</v>
      </c>
      <c r="P116" s="99" t="s">
        <v>222</v>
      </c>
      <c r="Q116" s="99"/>
      <c r="R116" s="99" t="s">
        <v>223</v>
      </c>
      <c r="S116" s="99" t="s">
        <v>223</v>
      </c>
      <c r="T116" s="99" t="s">
        <v>222</v>
      </c>
      <c r="U116" s="99"/>
      <c r="V116" s="99" t="s">
        <v>223</v>
      </c>
      <c r="W116" s="99"/>
      <c r="X116" s="99"/>
      <c r="Y116" s="99" t="s">
        <v>222</v>
      </c>
      <c r="Z116" s="99" t="s">
        <v>223</v>
      </c>
      <c r="AA116" s="99" t="s">
        <v>222</v>
      </c>
      <c r="AB116" s="99" t="s">
        <v>222</v>
      </c>
      <c r="AC116" s="99" t="s">
        <v>222</v>
      </c>
      <c r="AD116" s="99"/>
      <c r="AE116" s="99" t="s">
        <v>222</v>
      </c>
      <c r="AF116" s="99"/>
      <c r="AG116" s="99" t="s">
        <v>222</v>
      </c>
      <c r="AH116" s="99"/>
      <c r="AI116" s="99"/>
      <c r="AJ116" s="99"/>
      <c r="AK116" s="99">
        <f t="shared" si="6"/>
        <v>13</v>
      </c>
      <c r="AL116" s="68"/>
      <c r="AM116" s="68"/>
      <c r="AN116" s="68"/>
      <c r="AO116" s="69"/>
    </row>
    <row r="117" spans="1:371" customFormat="1" x14ac:dyDescent="0.25">
      <c r="A117" s="86">
        <v>110</v>
      </c>
      <c r="B117" s="20" t="s">
        <v>337</v>
      </c>
      <c r="C117" s="88">
        <v>110</v>
      </c>
      <c r="D117" s="21" t="s">
        <v>429</v>
      </c>
      <c r="E117" s="18"/>
      <c r="F117" s="99" t="s">
        <v>222</v>
      </c>
      <c r="G117" s="99" t="s">
        <v>223</v>
      </c>
      <c r="H117" s="99" t="s">
        <v>223</v>
      </c>
      <c r="I117" s="99"/>
      <c r="J117" s="99"/>
      <c r="K117" s="99" t="s">
        <v>223</v>
      </c>
      <c r="L117" s="99" t="s">
        <v>223</v>
      </c>
      <c r="M117" s="99" t="s">
        <v>223</v>
      </c>
      <c r="N117" s="99" t="s">
        <v>223</v>
      </c>
      <c r="O117" s="99" t="s">
        <v>223</v>
      </c>
      <c r="P117" s="99"/>
      <c r="Q117" s="99"/>
      <c r="R117" s="99" t="s">
        <v>223</v>
      </c>
      <c r="S117" s="99" t="s">
        <v>223</v>
      </c>
      <c r="T117" s="99" t="s">
        <v>223</v>
      </c>
      <c r="U117" s="99" t="s">
        <v>223</v>
      </c>
      <c r="V117" s="99" t="s">
        <v>223</v>
      </c>
      <c r="W117" s="99"/>
      <c r="X117" s="99"/>
      <c r="Y117" s="99" t="s">
        <v>223</v>
      </c>
      <c r="Z117" s="99" t="s">
        <v>223</v>
      </c>
      <c r="AA117" s="99" t="s">
        <v>223</v>
      </c>
      <c r="AB117" s="99"/>
      <c r="AC117" s="99" t="s">
        <v>223</v>
      </c>
      <c r="AD117" s="99"/>
      <c r="AE117" s="99"/>
      <c r="AF117" s="99" t="s">
        <v>223</v>
      </c>
      <c r="AG117" s="99" t="s">
        <v>223</v>
      </c>
      <c r="AH117" s="99" t="s">
        <v>223</v>
      </c>
      <c r="AI117" s="99" t="s">
        <v>223</v>
      </c>
      <c r="AJ117" s="99" t="s">
        <v>222</v>
      </c>
      <c r="AK117" s="99">
        <f>COUNTIF(F117:AJ117,"x")+COUNTIF(F117:AJ117,"x/2")*0.5</f>
        <v>21</v>
      </c>
      <c r="AL117" s="68"/>
      <c r="AM117" s="68"/>
      <c r="AN117" s="68"/>
      <c r="AO117" s="69"/>
    </row>
    <row r="118" spans="1:371" customFormat="1" ht="15.75" thickBot="1" x14ac:dyDescent="0.3">
      <c r="A118" s="87">
        <v>111</v>
      </c>
      <c r="B118" s="24" t="s">
        <v>336</v>
      </c>
      <c r="C118" s="89">
        <v>111</v>
      </c>
      <c r="D118" s="70" t="s">
        <v>282</v>
      </c>
      <c r="E118" s="23"/>
      <c r="F118" s="100"/>
      <c r="G118" s="100"/>
      <c r="H118" s="100"/>
      <c r="I118" s="100"/>
      <c r="J118" s="100"/>
      <c r="K118" s="100"/>
      <c r="L118" s="100"/>
      <c r="M118" s="100"/>
      <c r="N118" s="100"/>
      <c r="O118" s="100"/>
      <c r="P118" s="100"/>
      <c r="Q118" s="100"/>
      <c r="R118" s="100"/>
      <c r="S118" s="100"/>
      <c r="T118" s="100"/>
      <c r="U118" s="100"/>
      <c r="V118" s="100"/>
      <c r="W118" s="100"/>
      <c r="X118" s="100"/>
      <c r="Y118" s="100"/>
      <c r="Z118" s="100"/>
      <c r="AA118" s="100"/>
      <c r="AB118" s="100"/>
      <c r="AC118" s="100"/>
      <c r="AD118" s="100"/>
      <c r="AE118" s="100"/>
      <c r="AF118" s="100"/>
      <c r="AG118" s="100"/>
      <c r="AH118" s="100"/>
      <c r="AI118" s="100"/>
      <c r="AJ118" s="100"/>
      <c r="AK118" s="100">
        <f t="shared" si="6"/>
        <v>0</v>
      </c>
      <c r="AL118" s="71"/>
      <c r="AM118" s="71"/>
      <c r="AN118" s="71"/>
      <c r="AO118" s="72"/>
    </row>
    <row r="119" spans="1:371" customFormat="1" ht="15.75" thickTop="1" x14ac:dyDescent="0.25">
      <c r="F119" s="154"/>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L119" s="53"/>
      <c r="AM119" s="53"/>
      <c r="AN119" s="53"/>
      <c r="AO119" s="53"/>
    </row>
    <row r="120" spans="1:371" s="148" customFormat="1" x14ac:dyDescent="0.25">
      <c r="AL120" s="149"/>
      <c r="AM120" s="149"/>
      <c r="AN120" s="149"/>
      <c r="AO120" s="149"/>
    </row>
    <row r="121" spans="1:371" x14ac:dyDescent="0.25">
      <c r="J121"/>
      <c r="K121"/>
      <c r="L121"/>
      <c r="M121"/>
      <c r="N121"/>
      <c r="O121"/>
      <c r="P121"/>
      <c r="Q121"/>
      <c r="R121" t="s">
        <v>367</v>
      </c>
      <c r="S121"/>
      <c r="T121"/>
      <c r="U121"/>
      <c r="V121"/>
      <c r="W121"/>
      <c r="X121"/>
      <c r="Y121"/>
      <c r="Z121"/>
      <c r="AA121"/>
      <c r="AB121"/>
      <c r="AC121"/>
      <c r="AD121"/>
      <c r="AE121"/>
      <c r="AF121"/>
      <c r="AG121"/>
      <c r="AH121"/>
      <c r="AI121"/>
      <c r="AJ121"/>
      <c r="AK121" s="150"/>
      <c r="AL121" s="151"/>
      <c r="AM121" s="151"/>
      <c r="AN121" s="151"/>
      <c r="AO121" s="151"/>
      <c r="AP121" s="150"/>
      <c r="AQ121" s="150"/>
      <c r="AR121" s="150"/>
      <c r="AS121" s="150"/>
      <c r="AT121" s="150"/>
      <c r="AU121" s="150"/>
      <c r="AV121" s="150"/>
      <c r="AW121" s="150"/>
      <c r="AX121" s="150"/>
      <c r="AY121" s="150"/>
      <c r="AZ121" s="150"/>
      <c r="BA121" s="150"/>
      <c r="BB121" s="150"/>
      <c r="BC121" s="150"/>
      <c r="BD121" s="150"/>
      <c r="BE121" s="150"/>
      <c r="BF121" s="150"/>
      <c r="BG121" s="150"/>
      <c r="BH121" s="150"/>
      <c r="BI121" s="150"/>
      <c r="BJ121" s="150"/>
      <c r="BK121" s="150"/>
      <c r="BL121" s="150"/>
      <c r="BM121" s="150"/>
      <c r="BN121" s="150"/>
      <c r="BO121" s="150"/>
      <c r="BP121" s="150"/>
      <c r="BQ121" s="150"/>
      <c r="BR121" s="150"/>
      <c r="BS121" s="150"/>
      <c r="BT121" s="150"/>
      <c r="BU121" s="150"/>
      <c r="BV121" s="150"/>
      <c r="BW121" s="150"/>
      <c r="BX121" s="150"/>
      <c r="BY121" s="150"/>
      <c r="BZ121" s="150"/>
      <c r="CA121" s="150"/>
      <c r="CB121" s="150"/>
      <c r="CC121" s="150"/>
      <c r="CD121" s="150"/>
      <c r="CE121" s="150"/>
      <c r="CF121" s="150"/>
      <c r="CG121" s="150"/>
      <c r="CH121" s="150"/>
      <c r="CI121" s="150"/>
      <c r="CJ121" s="150"/>
      <c r="CK121" s="150"/>
      <c r="CL121" s="150"/>
      <c r="CM121" s="150"/>
      <c r="CN121" s="150"/>
      <c r="CO121" s="150"/>
      <c r="CP121" s="150"/>
      <c r="CQ121" s="150"/>
      <c r="CR121" s="150"/>
      <c r="CS121" s="150"/>
      <c r="CT121" s="150"/>
      <c r="CU121" s="150"/>
      <c r="CV121" s="150"/>
      <c r="CW121" s="150"/>
      <c r="CX121" s="150"/>
      <c r="CY121" s="150"/>
      <c r="CZ121" s="150"/>
      <c r="DA121" s="150"/>
      <c r="DB121" s="150"/>
      <c r="DC121" s="150"/>
      <c r="DD121" s="150"/>
      <c r="DE121" s="150"/>
      <c r="DF121" s="150"/>
      <c r="DG121" s="150"/>
      <c r="DH121" s="150"/>
      <c r="DI121" s="150"/>
      <c r="DJ121" s="150"/>
      <c r="DK121" s="150"/>
      <c r="DL121" s="150"/>
      <c r="DM121" s="150"/>
      <c r="DN121" s="150"/>
      <c r="DO121" s="150"/>
      <c r="DP121" s="150"/>
      <c r="DQ121" s="150"/>
      <c r="DR121" s="150"/>
      <c r="DS121" s="150"/>
      <c r="DT121" s="150"/>
      <c r="DU121" s="150"/>
      <c r="DV121" s="150"/>
      <c r="DW121" s="150"/>
      <c r="DX121" s="150"/>
      <c r="DY121" s="150"/>
      <c r="DZ121" s="150"/>
      <c r="EA121" s="150"/>
      <c r="EB121" s="150"/>
      <c r="EC121" s="150"/>
      <c r="ED121" s="150"/>
      <c r="EE121" s="150"/>
      <c r="EF121" s="150"/>
      <c r="EG121" s="150"/>
      <c r="EH121" s="150"/>
      <c r="EI121" s="150"/>
      <c r="EJ121" s="150"/>
      <c r="EK121" s="150"/>
      <c r="EL121" s="150"/>
      <c r="EM121" s="150"/>
      <c r="EN121" s="150"/>
      <c r="EO121" s="150"/>
      <c r="EP121" s="150"/>
      <c r="EQ121" s="150"/>
      <c r="ER121" s="150"/>
      <c r="ES121" s="150"/>
      <c r="ET121" s="150"/>
      <c r="EU121" s="150"/>
      <c r="EV121" s="150"/>
      <c r="EW121" s="150"/>
      <c r="EX121" s="150"/>
      <c r="EY121" s="150"/>
      <c r="EZ121" s="150"/>
      <c r="FA121" s="150"/>
      <c r="FB121" s="150"/>
      <c r="FC121" s="150"/>
      <c r="FD121" s="150"/>
      <c r="FE121" s="150"/>
      <c r="FF121" s="150"/>
      <c r="FG121" s="150"/>
      <c r="FH121" s="150"/>
      <c r="FI121" s="150"/>
      <c r="FJ121" s="150"/>
      <c r="FK121" s="150"/>
      <c r="FL121" s="150"/>
      <c r="FM121" s="150"/>
      <c r="FN121" s="150"/>
      <c r="FO121" s="150"/>
      <c r="FP121" s="150"/>
      <c r="FQ121" s="150"/>
      <c r="FR121" s="150"/>
      <c r="FS121" s="150"/>
      <c r="FT121" s="150"/>
      <c r="FU121" s="150"/>
      <c r="FV121" s="150"/>
      <c r="FW121" s="150"/>
      <c r="FX121" s="150"/>
      <c r="FY121" s="150"/>
      <c r="FZ121" s="150"/>
      <c r="GA121" s="150"/>
      <c r="GB121" s="150"/>
      <c r="GC121" s="150"/>
      <c r="GD121" s="150"/>
      <c r="GE121" s="150"/>
      <c r="GF121" s="150"/>
      <c r="GG121" s="150"/>
      <c r="GH121" s="150"/>
      <c r="GI121" s="150"/>
      <c r="GJ121" s="150"/>
      <c r="GK121" s="150"/>
      <c r="GL121" s="150"/>
      <c r="GM121" s="150"/>
      <c r="GN121" s="150"/>
      <c r="GO121" s="150"/>
      <c r="GP121" s="150"/>
      <c r="GQ121" s="150"/>
      <c r="GR121" s="150"/>
      <c r="GS121" s="150"/>
      <c r="GT121" s="150"/>
      <c r="GU121" s="150"/>
      <c r="GV121" s="150"/>
      <c r="GW121" s="150"/>
      <c r="GX121" s="150"/>
      <c r="GY121" s="150"/>
      <c r="GZ121" s="150"/>
      <c r="HA121" s="150"/>
      <c r="HB121" s="150"/>
      <c r="HC121" s="150"/>
      <c r="HD121" s="150"/>
      <c r="HE121" s="150"/>
      <c r="HF121" s="150"/>
      <c r="HG121" s="150"/>
      <c r="HH121" s="150"/>
      <c r="HI121" s="150"/>
      <c r="HJ121" s="150"/>
      <c r="HK121" s="150"/>
      <c r="HL121" s="150"/>
      <c r="HM121" s="150"/>
      <c r="HN121" s="150"/>
      <c r="HO121" s="150"/>
      <c r="HP121" s="150"/>
      <c r="HQ121" s="150"/>
      <c r="HR121" s="150"/>
      <c r="HS121" s="150"/>
      <c r="HT121" s="150"/>
      <c r="HU121" s="150"/>
      <c r="HV121" s="150"/>
      <c r="HW121" s="150"/>
      <c r="HX121" s="150"/>
      <c r="HY121" s="150"/>
      <c r="HZ121" s="150"/>
      <c r="IA121" s="150"/>
      <c r="IB121" s="150"/>
      <c r="IC121" s="150"/>
      <c r="ID121" s="150"/>
      <c r="IE121" s="150"/>
      <c r="IF121" s="150"/>
      <c r="IG121" s="150"/>
      <c r="IH121" s="150"/>
      <c r="II121" s="150"/>
      <c r="IJ121" s="150"/>
      <c r="IK121" s="150"/>
      <c r="IL121" s="150"/>
      <c r="IM121" s="150"/>
      <c r="IN121" s="150"/>
      <c r="IO121" s="150"/>
      <c r="IP121" s="150"/>
      <c r="IQ121" s="150"/>
      <c r="IR121" s="150"/>
      <c r="IS121" s="150"/>
      <c r="IT121" s="150"/>
      <c r="IU121" s="150"/>
      <c r="IV121" s="150"/>
      <c r="IW121" s="150"/>
      <c r="IX121" s="150"/>
      <c r="IY121" s="150"/>
      <c r="IZ121" s="150"/>
      <c r="JA121" s="150"/>
      <c r="JB121" s="150"/>
      <c r="JC121" s="150"/>
      <c r="JD121" s="150"/>
      <c r="JE121" s="150"/>
      <c r="JF121" s="150"/>
      <c r="JG121" s="150"/>
      <c r="JH121" s="150"/>
      <c r="JI121" s="150"/>
      <c r="JJ121" s="150"/>
      <c r="JK121" s="150"/>
      <c r="JL121" s="150"/>
      <c r="JM121" s="150"/>
      <c r="JN121" s="150"/>
      <c r="JO121" s="150"/>
      <c r="JP121" s="150"/>
      <c r="JQ121" s="150"/>
      <c r="JR121" s="150"/>
      <c r="JS121" s="150"/>
      <c r="JT121" s="150"/>
      <c r="JU121" s="150"/>
      <c r="JV121" s="150"/>
      <c r="JW121" s="150"/>
      <c r="JX121" s="150"/>
      <c r="JY121" s="150"/>
      <c r="JZ121" s="150"/>
      <c r="KA121" s="150"/>
      <c r="KB121" s="150"/>
      <c r="KC121" s="150"/>
      <c r="KD121" s="150"/>
      <c r="KE121" s="150"/>
      <c r="KF121" s="150"/>
      <c r="KG121" s="150"/>
      <c r="KH121" s="150"/>
      <c r="KI121" s="150"/>
      <c r="KJ121" s="150"/>
      <c r="KK121" s="150"/>
      <c r="KL121" s="150"/>
      <c r="KM121" s="150"/>
      <c r="KN121" s="150"/>
      <c r="KO121" s="150"/>
      <c r="KP121" s="150"/>
      <c r="KQ121" s="150"/>
      <c r="KR121" s="150"/>
      <c r="KS121" s="150"/>
      <c r="KT121" s="150"/>
      <c r="KU121" s="150"/>
      <c r="KV121" s="150"/>
      <c r="KW121" s="150"/>
      <c r="KX121" s="150"/>
      <c r="KY121" s="150"/>
      <c r="KZ121" s="150"/>
      <c r="LA121" s="150"/>
      <c r="LB121" s="150"/>
      <c r="LC121" s="150"/>
      <c r="LD121" s="150"/>
      <c r="LE121" s="150"/>
      <c r="LF121" s="150"/>
      <c r="LG121" s="150"/>
      <c r="LH121" s="150"/>
      <c r="LI121" s="150"/>
      <c r="LJ121" s="150"/>
      <c r="LK121" s="150"/>
      <c r="LL121" s="150"/>
      <c r="LM121" s="150"/>
      <c r="LN121" s="150"/>
      <c r="LO121" s="150"/>
      <c r="LP121" s="150"/>
      <c r="LQ121" s="150"/>
      <c r="LR121" s="150"/>
      <c r="LS121" s="150"/>
      <c r="LT121" s="150"/>
      <c r="LU121" s="150"/>
      <c r="LV121" s="150"/>
      <c r="LW121" s="150"/>
      <c r="LX121" s="150"/>
      <c r="LY121" s="150"/>
      <c r="LZ121" s="150"/>
      <c r="MA121" s="150"/>
      <c r="MB121" s="150"/>
      <c r="MC121" s="150"/>
      <c r="MD121" s="150"/>
      <c r="ME121" s="150"/>
      <c r="MF121" s="150"/>
      <c r="MG121" s="150"/>
      <c r="MH121" s="150"/>
      <c r="MI121" s="150"/>
      <c r="MJ121" s="150"/>
      <c r="MK121" s="150"/>
      <c r="ML121" s="150"/>
      <c r="MM121" s="150"/>
      <c r="MN121" s="150"/>
      <c r="MO121" s="150"/>
      <c r="MP121" s="150"/>
      <c r="MQ121" s="150"/>
      <c r="MR121" s="150"/>
      <c r="MS121" s="150"/>
      <c r="MT121" s="150"/>
      <c r="MU121" s="150"/>
      <c r="MV121" s="150"/>
      <c r="MW121" s="150"/>
      <c r="MX121" s="150"/>
      <c r="MY121" s="150"/>
      <c r="MZ121" s="150"/>
      <c r="NA121" s="150"/>
      <c r="NB121" s="150"/>
      <c r="NC121" s="150"/>
      <c r="ND121" s="150"/>
      <c r="NE121" s="150"/>
      <c r="NF121" s="150"/>
      <c r="NG121" s="150"/>
    </row>
    <row r="122" spans="1:371" x14ac:dyDescent="0.25">
      <c r="B122" s="90"/>
      <c r="J122"/>
      <c r="K122"/>
      <c r="L122"/>
      <c r="M122"/>
      <c r="N122"/>
      <c r="O122"/>
      <c r="P122"/>
      <c r="Q122"/>
      <c r="R122" t="s">
        <v>354</v>
      </c>
      <c r="S122"/>
      <c r="T122"/>
      <c r="U122"/>
      <c r="V122"/>
      <c r="W122"/>
      <c r="X122"/>
      <c r="Y122"/>
      <c r="Z122"/>
      <c r="AA122"/>
      <c r="AB122"/>
      <c r="AC122"/>
      <c r="AD122"/>
      <c r="AE122"/>
      <c r="AF122"/>
      <c r="AG122"/>
      <c r="AH122"/>
      <c r="AI122"/>
      <c r="AJ122"/>
      <c r="AK122" s="150"/>
      <c r="AL122" s="151"/>
      <c r="AM122" s="151"/>
      <c r="AN122" s="151"/>
      <c r="AO122" s="151"/>
      <c r="AP122" s="150"/>
      <c r="AQ122" s="150"/>
      <c r="AR122" s="150"/>
      <c r="AS122" s="150"/>
      <c r="AT122" s="150"/>
      <c r="AU122" s="150"/>
      <c r="AV122" s="150"/>
      <c r="AW122" s="150"/>
      <c r="AX122" s="150"/>
      <c r="AY122" s="150"/>
      <c r="AZ122" s="150"/>
      <c r="BA122" s="150"/>
      <c r="BB122" s="150"/>
      <c r="BC122" s="150"/>
      <c r="BD122" s="150"/>
      <c r="BE122" s="150"/>
      <c r="BF122" s="150"/>
      <c r="BG122" s="150"/>
      <c r="BH122" s="150"/>
      <c r="BI122" s="150"/>
      <c r="BJ122" s="150"/>
      <c r="BK122" s="150"/>
      <c r="BL122" s="150"/>
      <c r="BM122" s="150"/>
      <c r="BN122" s="150"/>
      <c r="BO122" s="150"/>
      <c r="BP122" s="150"/>
      <c r="BQ122" s="150"/>
      <c r="BR122" s="150"/>
      <c r="BS122" s="150"/>
      <c r="BT122" s="150"/>
      <c r="BU122" s="150"/>
      <c r="BV122" s="150"/>
      <c r="BW122" s="150"/>
      <c r="BX122" s="150"/>
      <c r="BY122" s="150"/>
      <c r="BZ122" s="150"/>
      <c r="CA122" s="150"/>
      <c r="CB122" s="150"/>
      <c r="CC122" s="150"/>
      <c r="CD122" s="150"/>
      <c r="CE122" s="150"/>
      <c r="CF122" s="150"/>
      <c r="CG122" s="150"/>
      <c r="CH122" s="150"/>
      <c r="CI122" s="150"/>
      <c r="CJ122" s="150"/>
      <c r="CK122" s="150"/>
      <c r="CL122" s="150"/>
      <c r="CM122" s="150"/>
      <c r="CN122" s="150"/>
      <c r="CO122" s="150"/>
      <c r="CP122" s="150"/>
      <c r="CQ122" s="150"/>
      <c r="CR122" s="150"/>
      <c r="CS122" s="150"/>
      <c r="CT122" s="150"/>
      <c r="CU122" s="150"/>
      <c r="CV122" s="150"/>
      <c r="CW122" s="150"/>
      <c r="CX122" s="150"/>
      <c r="CY122" s="150"/>
      <c r="CZ122" s="150"/>
      <c r="DA122" s="150"/>
      <c r="DB122" s="150"/>
      <c r="DC122" s="150"/>
      <c r="DD122" s="150"/>
      <c r="DE122" s="150"/>
      <c r="DF122" s="150"/>
      <c r="DG122" s="150"/>
      <c r="DH122" s="150"/>
      <c r="DI122" s="150"/>
      <c r="DJ122" s="150"/>
      <c r="DK122" s="150"/>
      <c r="DL122" s="150"/>
      <c r="DM122" s="150"/>
      <c r="DN122" s="150"/>
      <c r="DO122" s="150"/>
      <c r="DP122" s="150"/>
      <c r="DQ122" s="150"/>
      <c r="DR122" s="150"/>
      <c r="DS122" s="150"/>
      <c r="DT122" s="150"/>
      <c r="DU122" s="150"/>
      <c r="DV122" s="150"/>
      <c r="DW122" s="150"/>
      <c r="DX122" s="150"/>
      <c r="DY122" s="150"/>
      <c r="DZ122" s="150"/>
      <c r="EA122" s="150"/>
      <c r="EB122" s="150"/>
      <c r="EC122" s="150"/>
      <c r="ED122" s="150"/>
      <c r="EE122" s="150"/>
      <c r="EF122" s="150"/>
      <c r="EG122" s="150"/>
      <c r="EH122" s="150"/>
      <c r="EI122" s="150"/>
      <c r="EJ122" s="150"/>
      <c r="EK122" s="150"/>
      <c r="EL122" s="150"/>
      <c r="EM122" s="150"/>
      <c r="EN122" s="150"/>
      <c r="EO122" s="150"/>
      <c r="EP122" s="150"/>
      <c r="EQ122" s="150"/>
      <c r="ER122" s="150"/>
      <c r="ES122" s="150"/>
      <c r="ET122" s="150"/>
      <c r="EU122" s="150"/>
      <c r="EV122" s="150"/>
      <c r="EW122" s="150"/>
      <c r="EX122" s="150"/>
      <c r="EY122" s="150"/>
      <c r="EZ122" s="150"/>
      <c r="FA122" s="150"/>
      <c r="FB122" s="150"/>
      <c r="FC122" s="150"/>
      <c r="FD122" s="150"/>
      <c r="FE122" s="150"/>
      <c r="FF122" s="150"/>
      <c r="FG122" s="150"/>
      <c r="FH122" s="150"/>
      <c r="FI122" s="150"/>
      <c r="FJ122" s="150"/>
      <c r="FK122" s="150"/>
      <c r="FL122" s="150"/>
      <c r="FM122" s="150"/>
      <c r="FN122" s="150"/>
      <c r="FO122" s="150"/>
      <c r="FP122" s="150"/>
      <c r="FQ122" s="150"/>
      <c r="FR122" s="150"/>
      <c r="FS122" s="150"/>
      <c r="FT122" s="150"/>
      <c r="FU122" s="150"/>
      <c r="FV122" s="150"/>
      <c r="FW122" s="150"/>
      <c r="FX122" s="150"/>
      <c r="FY122" s="150"/>
      <c r="FZ122" s="150"/>
      <c r="GA122" s="150"/>
      <c r="GB122" s="150"/>
      <c r="GC122" s="150"/>
      <c r="GD122" s="150"/>
      <c r="GE122" s="150"/>
      <c r="GF122" s="150"/>
      <c r="GG122" s="150"/>
      <c r="GH122" s="150"/>
      <c r="GI122" s="150"/>
      <c r="GJ122" s="150"/>
      <c r="GK122" s="150"/>
      <c r="GL122" s="150"/>
      <c r="GM122" s="150"/>
      <c r="GN122" s="150"/>
      <c r="GO122" s="150"/>
      <c r="GP122" s="150"/>
      <c r="GQ122" s="150"/>
      <c r="GR122" s="150"/>
      <c r="GS122" s="150"/>
      <c r="GT122" s="150"/>
      <c r="GU122" s="150"/>
      <c r="GV122" s="150"/>
      <c r="GW122" s="150"/>
      <c r="GX122" s="150"/>
      <c r="GY122" s="150"/>
      <c r="GZ122" s="150"/>
      <c r="HA122" s="150"/>
      <c r="HB122" s="150"/>
      <c r="HC122" s="150"/>
      <c r="HD122" s="150"/>
      <c r="HE122" s="150"/>
      <c r="HF122" s="150"/>
      <c r="HG122" s="150"/>
      <c r="HH122" s="150"/>
      <c r="HI122" s="150"/>
      <c r="HJ122" s="150"/>
      <c r="HK122" s="150"/>
      <c r="HL122" s="150"/>
      <c r="HM122" s="150"/>
      <c r="HN122" s="150"/>
      <c r="HO122" s="150"/>
      <c r="HP122" s="150"/>
      <c r="HQ122" s="150"/>
      <c r="HR122" s="150"/>
      <c r="HS122" s="150"/>
      <c r="HT122" s="150"/>
      <c r="HU122" s="150"/>
      <c r="HV122" s="150"/>
      <c r="HW122" s="150"/>
      <c r="HX122" s="150"/>
      <c r="HY122" s="150"/>
      <c r="HZ122" s="150"/>
      <c r="IA122" s="150"/>
      <c r="IB122" s="150"/>
      <c r="IC122" s="150"/>
      <c r="ID122" s="150"/>
      <c r="IE122" s="150"/>
      <c r="IF122" s="150"/>
      <c r="IG122" s="150"/>
      <c r="IH122" s="150"/>
      <c r="II122" s="150"/>
      <c r="IJ122" s="150"/>
      <c r="IK122" s="150"/>
      <c r="IL122" s="150"/>
      <c r="IM122" s="150"/>
      <c r="IN122" s="150"/>
      <c r="IO122" s="150"/>
      <c r="IP122" s="150"/>
      <c r="IQ122" s="150"/>
      <c r="IR122" s="150"/>
      <c r="IS122" s="150"/>
      <c r="IT122" s="150"/>
      <c r="IU122" s="150"/>
      <c r="IV122" s="150"/>
      <c r="IW122" s="150"/>
      <c r="IX122" s="150"/>
      <c r="IY122" s="150"/>
      <c r="IZ122" s="150"/>
      <c r="JA122" s="150"/>
      <c r="JB122" s="150"/>
      <c r="JC122" s="150"/>
      <c r="JD122" s="150"/>
      <c r="JE122" s="150"/>
      <c r="JF122" s="150"/>
      <c r="JG122" s="150"/>
      <c r="JH122" s="150"/>
      <c r="JI122" s="150"/>
      <c r="JJ122" s="150"/>
      <c r="JK122" s="150"/>
      <c r="JL122" s="150"/>
      <c r="JM122" s="150"/>
      <c r="JN122" s="150"/>
      <c r="JO122" s="150"/>
      <c r="JP122" s="150"/>
      <c r="JQ122" s="150"/>
      <c r="JR122" s="150"/>
      <c r="JS122" s="150"/>
      <c r="JT122" s="150"/>
      <c r="JU122" s="150"/>
      <c r="JV122" s="150"/>
      <c r="JW122" s="150"/>
      <c r="JX122" s="150"/>
      <c r="JY122" s="150"/>
      <c r="JZ122" s="150"/>
      <c r="KA122" s="150"/>
      <c r="KB122" s="150"/>
      <c r="KC122" s="150"/>
      <c r="KD122" s="150"/>
      <c r="KE122" s="150"/>
      <c r="KF122" s="150"/>
      <c r="KG122" s="150"/>
      <c r="KH122" s="150"/>
      <c r="KI122" s="150"/>
      <c r="KJ122" s="150"/>
      <c r="KK122" s="150"/>
      <c r="KL122" s="150"/>
      <c r="KM122" s="150"/>
      <c r="KN122" s="150"/>
      <c r="KO122" s="150"/>
      <c r="KP122" s="150"/>
      <c r="KQ122" s="150"/>
      <c r="KR122" s="150"/>
      <c r="KS122" s="150"/>
      <c r="KT122" s="150"/>
      <c r="KU122" s="150"/>
      <c r="KV122" s="150"/>
      <c r="KW122" s="150"/>
      <c r="KX122" s="150"/>
      <c r="KY122" s="150"/>
      <c r="KZ122" s="150"/>
      <c r="LA122" s="150"/>
      <c r="LB122" s="150"/>
      <c r="LC122" s="150"/>
      <c r="LD122" s="150"/>
      <c r="LE122" s="150"/>
      <c r="LF122" s="150"/>
      <c r="LG122" s="150"/>
      <c r="LH122" s="150"/>
      <c r="LI122" s="150"/>
      <c r="LJ122" s="150"/>
      <c r="LK122" s="150"/>
      <c r="LL122" s="150"/>
      <c r="LM122" s="150"/>
      <c r="LN122" s="150"/>
      <c r="LO122" s="150"/>
      <c r="LP122" s="150"/>
      <c r="LQ122" s="150"/>
      <c r="LR122" s="150"/>
      <c r="LS122" s="150"/>
      <c r="LT122" s="150"/>
      <c r="LU122" s="150"/>
      <c r="LV122" s="150"/>
      <c r="LW122" s="150"/>
      <c r="LX122" s="150"/>
      <c r="LY122" s="150"/>
      <c r="LZ122" s="150"/>
      <c r="MA122" s="150"/>
      <c r="MB122" s="150"/>
      <c r="MC122" s="150"/>
      <c r="MD122" s="150"/>
      <c r="ME122" s="150"/>
      <c r="MF122" s="150"/>
      <c r="MG122" s="150"/>
      <c r="MH122" s="150"/>
      <c r="MI122" s="150"/>
      <c r="MJ122" s="150"/>
      <c r="MK122" s="150"/>
      <c r="ML122" s="150"/>
      <c r="MM122" s="150"/>
      <c r="MN122" s="150"/>
      <c r="MO122" s="150"/>
      <c r="MP122" s="150"/>
      <c r="MQ122" s="150"/>
      <c r="MR122" s="150"/>
      <c r="MS122" s="150"/>
      <c r="MT122" s="150"/>
      <c r="MU122" s="150"/>
      <c r="MV122" s="150"/>
      <c r="MW122" s="150"/>
      <c r="MX122" s="150"/>
      <c r="MY122" s="150"/>
      <c r="MZ122" s="150"/>
      <c r="NA122" s="150"/>
      <c r="NB122" s="150"/>
      <c r="NC122" s="150"/>
      <c r="ND122" s="150"/>
      <c r="NE122" s="150"/>
      <c r="NF122" s="150"/>
      <c r="NG122" s="150"/>
    </row>
    <row r="123" spans="1:371" x14ac:dyDescent="0.25">
      <c r="A123" s="77"/>
      <c r="B123" s="77"/>
      <c r="C123" s="77"/>
      <c r="D123" s="77"/>
      <c r="E123" s="77"/>
      <c r="F123" s="150"/>
      <c r="G123" s="150"/>
      <c r="H123" s="150"/>
      <c r="I123" s="150"/>
      <c r="J123" s="150"/>
      <c r="K123" s="150"/>
      <c r="L123" s="150"/>
      <c r="M123" s="150"/>
      <c r="N123" s="150"/>
      <c r="O123" s="150"/>
      <c r="P123" s="150"/>
      <c r="Q123" s="150"/>
      <c r="R123" t="s">
        <v>355</v>
      </c>
      <c r="S123" s="150"/>
      <c r="T123" s="150"/>
      <c r="U123" s="150"/>
      <c r="V123" s="150"/>
      <c r="W123" s="150"/>
      <c r="X123" s="150"/>
      <c r="Y123" s="150"/>
      <c r="Z123" s="150"/>
      <c r="AA123" s="150"/>
      <c r="AB123" s="150"/>
      <c r="AC123" s="150"/>
      <c r="AD123" s="150"/>
      <c r="AE123" s="150"/>
      <c r="AF123" s="150"/>
      <c r="AG123" s="150"/>
      <c r="AH123" s="150"/>
      <c r="AI123" s="150"/>
      <c r="AJ123" s="150"/>
      <c r="AK123" s="150"/>
      <c r="AL123" s="151"/>
      <c r="AM123" s="151"/>
      <c r="AN123" s="151"/>
      <c r="AO123" s="151"/>
      <c r="AP123" s="150"/>
      <c r="AQ123" s="150"/>
      <c r="AR123" s="150"/>
      <c r="AS123" s="150"/>
      <c r="AT123" s="150"/>
      <c r="AU123" s="150"/>
      <c r="AV123" s="150"/>
      <c r="AW123" s="150"/>
      <c r="AX123" s="150"/>
      <c r="AY123" s="150"/>
      <c r="AZ123" s="150"/>
      <c r="BA123" s="150"/>
      <c r="BB123" s="150"/>
      <c r="BC123" s="150"/>
      <c r="BD123" s="150"/>
      <c r="BE123" s="150"/>
      <c r="BF123" s="150"/>
      <c r="BG123" s="150"/>
      <c r="BH123" s="150"/>
      <c r="BI123" s="150"/>
      <c r="BJ123" s="150"/>
      <c r="BK123" s="150"/>
      <c r="BL123" s="150"/>
      <c r="BM123" s="150"/>
      <c r="BN123" s="150"/>
      <c r="BO123" s="150"/>
      <c r="BP123" s="150"/>
      <c r="BQ123" s="150"/>
      <c r="BR123" s="150"/>
      <c r="BS123" s="150"/>
      <c r="BT123" s="150"/>
      <c r="BU123" s="150"/>
      <c r="BV123" s="150"/>
      <c r="BW123" s="150"/>
      <c r="BX123" s="150"/>
      <c r="BY123" s="150"/>
      <c r="BZ123" s="150"/>
      <c r="CA123" s="150"/>
      <c r="CB123" s="150"/>
      <c r="CC123" s="150"/>
      <c r="CD123" s="150"/>
      <c r="CE123" s="150"/>
      <c r="CF123" s="150"/>
      <c r="CG123" s="150"/>
      <c r="CH123" s="150"/>
      <c r="CI123" s="150"/>
      <c r="CJ123" s="150"/>
      <c r="CK123" s="150"/>
      <c r="CL123" s="150"/>
      <c r="CM123" s="150"/>
      <c r="CN123" s="150"/>
      <c r="CO123" s="150"/>
      <c r="CP123" s="150"/>
      <c r="CQ123" s="150"/>
      <c r="CR123" s="150"/>
      <c r="CS123" s="150"/>
      <c r="CT123" s="150"/>
      <c r="CU123" s="150"/>
      <c r="CV123" s="150"/>
      <c r="CW123" s="150"/>
      <c r="CX123" s="150"/>
      <c r="CY123" s="150"/>
      <c r="CZ123" s="150"/>
      <c r="DA123" s="150"/>
      <c r="DB123" s="150"/>
      <c r="DC123" s="150"/>
      <c r="DD123" s="150"/>
      <c r="DE123" s="150"/>
      <c r="DF123" s="150"/>
      <c r="DG123" s="150"/>
      <c r="DH123" s="150"/>
      <c r="DI123" s="150"/>
      <c r="DJ123" s="150"/>
      <c r="DK123" s="150"/>
      <c r="DL123" s="150"/>
      <c r="DM123" s="150"/>
      <c r="DN123" s="150"/>
      <c r="DO123" s="150"/>
      <c r="DP123" s="150"/>
      <c r="DQ123" s="150"/>
      <c r="DR123" s="150"/>
      <c r="DS123" s="150"/>
      <c r="DT123" s="150"/>
      <c r="DU123" s="150"/>
      <c r="DV123" s="150"/>
      <c r="DW123" s="150"/>
      <c r="DX123" s="150"/>
      <c r="DY123" s="150"/>
      <c r="DZ123" s="150"/>
      <c r="EA123" s="150"/>
      <c r="EB123" s="150"/>
      <c r="EC123" s="150"/>
      <c r="ED123" s="150"/>
      <c r="EE123" s="150"/>
      <c r="EF123" s="150"/>
      <c r="EG123" s="150"/>
      <c r="EH123" s="150"/>
      <c r="EI123" s="150"/>
      <c r="EJ123" s="150"/>
      <c r="EK123" s="150"/>
      <c r="EL123" s="150"/>
      <c r="EM123" s="150"/>
      <c r="EN123" s="150"/>
      <c r="EO123" s="150"/>
      <c r="EP123" s="150"/>
      <c r="EQ123" s="150"/>
      <c r="ER123" s="150"/>
      <c r="ES123" s="150"/>
      <c r="ET123" s="150"/>
      <c r="EU123" s="150"/>
      <c r="EV123" s="150"/>
      <c r="EW123" s="150"/>
      <c r="EX123" s="150"/>
      <c r="EY123" s="150"/>
      <c r="EZ123" s="150"/>
      <c r="FA123" s="150"/>
      <c r="FB123" s="150"/>
      <c r="FC123" s="150"/>
      <c r="FD123" s="150"/>
      <c r="FE123" s="150"/>
      <c r="FF123" s="150"/>
      <c r="FG123" s="150"/>
      <c r="FH123" s="150"/>
      <c r="FI123" s="150"/>
      <c r="FJ123" s="150"/>
      <c r="FK123" s="150"/>
      <c r="FL123" s="150"/>
      <c r="FM123" s="150"/>
      <c r="FN123" s="150"/>
      <c r="FO123" s="150"/>
      <c r="FP123" s="150"/>
      <c r="FQ123" s="150"/>
      <c r="FR123" s="150"/>
      <c r="FS123" s="150"/>
      <c r="FT123" s="150"/>
      <c r="FU123" s="150"/>
      <c r="FV123" s="150"/>
      <c r="FW123" s="150"/>
      <c r="FX123" s="150"/>
      <c r="FY123" s="150"/>
      <c r="FZ123" s="150"/>
      <c r="GA123" s="150"/>
      <c r="GB123" s="150"/>
      <c r="GC123" s="150"/>
      <c r="GD123" s="150"/>
      <c r="GE123" s="150"/>
      <c r="GF123" s="150"/>
      <c r="GG123" s="150"/>
      <c r="GH123" s="150"/>
      <c r="GI123" s="150"/>
      <c r="GJ123" s="150"/>
      <c r="GK123" s="150"/>
      <c r="GL123" s="150"/>
      <c r="GM123" s="150"/>
      <c r="GN123" s="150"/>
      <c r="GO123" s="150"/>
      <c r="GP123" s="150"/>
      <c r="GQ123" s="150"/>
      <c r="GR123" s="150"/>
      <c r="GS123" s="150"/>
      <c r="GT123" s="150"/>
      <c r="GU123" s="150"/>
      <c r="GV123" s="150"/>
      <c r="GW123" s="150"/>
      <c r="GX123" s="150"/>
      <c r="GY123" s="150"/>
      <c r="GZ123" s="150"/>
      <c r="HA123" s="150"/>
      <c r="HB123" s="150"/>
      <c r="HC123" s="150"/>
      <c r="HD123" s="150"/>
      <c r="HE123" s="150"/>
      <c r="HF123" s="150"/>
      <c r="HG123" s="150"/>
      <c r="HH123" s="150"/>
      <c r="HI123" s="150"/>
      <c r="HJ123" s="150"/>
      <c r="HK123" s="150"/>
      <c r="HL123" s="150"/>
      <c r="HM123" s="150"/>
      <c r="HN123" s="150"/>
      <c r="HO123" s="150"/>
      <c r="HP123" s="150"/>
      <c r="HQ123" s="150"/>
      <c r="HR123" s="150"/>
      <c r="HS123" s="150"/>
      <c r="HT123" s="150"/>
      <c r="HU123" s="150"/>
      <c r="HV123" s="150"/>
      <c r="HW123" s="150"/>
      <c r="HX123" s="150"/>
      <c r="HY123" s="150"/>
      <c r="HZ123" s="150"/>
      <c r="IA123" s="150"/>
      <c r="IB123" s="150"/>
      <c r="IC123" s="150"/>
      <c r="ID123" s="150"/>
      <c r="IE123" s="150"/>
      <c r="IF123" s="150"/>
      <c r="IG123" s="150"/>
      <c r="IH123" s="150"/>
      <c r="II123" s="150"/>
      <c r="IJ123" s="150"/>
      <c r="IK123" s="150"/>
      <c r="IL123" s="150"/>
      <c r="IM123" s="150"/>
      <c r="IN123" s="150"/>
      <c r="IO123" s="150"/>
      <c r="IP123" s="150"/>
      <c r="IQ123" s="150"/>
      <c r="IR123" s="150"/>
      <c r="IS123" s="150"/>
      <c r="IT123" s="150"/>
      <c r="IU123" s="150"/>
      <c r="IV123" s="150"/>
      <c r="IW123" s="150"/>
      <c r="IX123" s="150"/>
      <c r="IY123" s="150"/>
      <c r="IZ123" s="150"/>
      <c r="JA123" s="150"/>
      <c r="JB123" s="150"/>
      <c r="JC123" s="150"/>
      <c r="JD123" s="150"/>
      <c r="JE123" s="150"/>
      <c r="JF123" s="150"/>
      <c r="JG123" s="150"/>
      <c r="JH123" s="150"/>
      <c r="JI123" s="150"/>
      <c r="JJ123" s="150"/>
      <c r="JK123" s="150"/>
      <c r="JL123" s="150"/>
      <c r="JM123" s="150"/>
      <c r="JN123" s="150"/>
      <c r="JO123" s="150"/>
      <c r="JP123" s="150"/>
      <c r="JQ123" s="150"/>
      <c r="JR123" s="150"/>
      <c r="JS123" s="150"/>
      <c r="JT123" s="150"/>
      <c r="JU123" s="150"/>
      <c r="JV123" s="150"/>
      <c r="JW123" s="150"/>
      <c r="JX123" s="150"/>
      <c r="JY123" s="150"/>
      <c r="JZ123" s="150"/>
      <c r="KA123" s="150"/>
      <c r="KB123" s="150"/>
      <c r="KC123" s="150"/>
      <c r="KD123" s="150"/>
      <c r="KE123" s="150"/>
      <c r="KF123" s="150"/>
      <c r="KG123" s="150"/>
      <c r="KH123" s="150"/>
      <c r="KI123" s="150"/>
      <c r="KJ123" s="150"/>
      <c r="KK123" s="150"/>
      <c r="KL123" s="150"/>
      <c r="KM123" s="150"/>
      <c r="KN123" s="150"/>
      <c r="KO123" s="150"/>
      <c r="KP123" s="150"/>
      <c r="KQ123" s="150"/>
      <c r="KR123" s="150"/>
      <c r="KS123" s="150"/>
      <c r="KT123" s="150"/>
      <c r="KU123" s="150"/>
      <c r="KV123" s="150"/>
      <c r="KW123" s="150"/>
      <c r="KX123" s="150"/>
      <c r="KY123" s="150"/>
      <c r="KZ123" s="150"/>
      <c r="LA123" s="150"/>
      <c r="LB123" s="150"/>
      <c r="LC123" s="150"/>
      <c r="LD123" s="150"/>
      <c r="LE123" s="150"/>
      <c r="LF123" s="150"/>
      <c r="LG123" s="150"/>
      <c r="LH123" s="150"/>
      <c r="LI123" s="150"/>
      <c r="LJ123" s="150"/>
      <c r="LK123" s="150"/>
      <c r="LL123" s="150"/>
      <c r="LM123" s="150"/>
      <c r="LN123" s="150"/>
      <c r="LO123" s="150"/>
      <c r="LP123" s="150"/>
      <c r="LQ123" s="150"/>
      <c r="LR123" s="150"/>
      <c r="LS123" s="150"/>
      <c r="LT123" s="150"/>
      <c r="LU123" s="150"/>
      <c r="LV123" s="150"/>
      <c r="LW123" s="150"/>
      <c r="LX123" s="150"/>
      <c r="LY123" s="150"/>
      <c r="LZ123" s="150"/>
      <c r="MA123" s="150"/>
      <c r="MB123" s="150"/>
      <c r="MC123" s="150"/>
      <c r="MD123" s="150"/>
      <c r="ME123" s="150"/>
      <c r="MF123" s="150"/>
      <c r="MG123" s="150"/>
      <c r="MH123" s="150"/>
      <c r="MI123" s="150"/>
      <c r="MJ123" s="150"/>
      <c r="MK123" s="150"/>
      <c r="ML123" s="150"/>
      <c r="MM123" s="150"/>
      <c r="MN123" s="150"/>
      <c r="MO123" s="150"/>
      <c r="MP123" s="150"/>
      <c r="MQ123" s="150"/>
      <c r="MR123" s="150"/>
      <c r="MS123" s="150"/>
      <c r="MT123" s="150"/>
      <c r="MU123" s="150"/>
      <c r="MV123" s="150"/>
      <c r="MW123" s="150"/>
      <c r="MX123" s="150"/>
      <c r="MY123" s="150"/>
      <c r="MZ123" s="150"/>
      <c r="NA123" s="150"/>
      <c r="NB123" s="150"/>
      <c r="NC123" s="150"/>
      <c r="ND123" s="150"/>
      <c r="NE123" s="150"/>
      <c r="NF123" s="150"/>
      <c r="NG123" s="150"/>
    </row>
    <row r="124" spans="1:371" x14ac:dyDescent="0.25">
      <c r="A124" s="77"/>
      <c r="B124" s="77"/>
      <c r="C124" s="77"/>
      <c r="D124" s="77"/>
      <c r="E124" s="77"/>
      <c r="F124" s="152"/>
      <c r="G124" s="152"/>
      <c r="H124" s="152"/>
      <c r="I124" s="152"/>
      <c r="J124" s="152"/>
      <c r="K124" s="152"/>
      <c r="L124" s="152"/>
      <c r="M124" s="152"/>
      <c r="N124" s="152"/>
      <c r="O124" s="152"/>
      <c r="P124" s="152"/>
      <c r="Q124" s="152"/>
      <c r="R124" t="s">
        <v>356</v>
      </c>
      <c r="S124" s="152"/>
      <c r="T124" s="152"/>
      <c r="U124" s="152"/>
      <c r="V124" s="152"/>
      <c r="W124" s="152"/>
      <c r="X124" s="152"/>
      <c r="Y124" s="152"/>
      <c r="Z124" s="152"/>
      <c r="AA124" s="152"/>
      <c r="AB124" s="152"/>
      <c r="AC124" s="152"/>
      <c r="AD124" s="152"/>
      <c r="AE124" s="152"/>
      <c r="AF124" s="152"/>
      <c r="AG124" s="152"/>
      <c r="AH124" s="152"/>
      <c r="AI124" s="152"/>
      <c r="AJ124" s="152"/>
      <c r="AK124" s="153"/>
      <c r="AL124" s="151"/>
      <c r="AM124" s="151"/>
      <c r="AN124" s="151"/>
      <c r="AO124" s="151"/>
      <c r="AP124" s="150"/>
      <c r="AQ124" s="150"/>
      <c r="AR124" s="150"/>
      <c r="AS124" s="150"/>
      <c r="AT124" s="150"/>
      <c r="AU124" s="150"/>
      <c r="AV124" s="150"/>
      <c r="AW124" s="150"/>
      <c r="AX124" s="150"/>
      <c r="AY124" s="150"/>
      <c r="AZ124" s="150"/>
      <c r="BA124" s="150"/>
      <c r="BB124" s="150"/>
      <c r="BC124" s="150"/>
      <c r="BD124" s="150"/>
      <c r="BE124" s="150"/>
      <c r="BF124" s="150"/>
      <c r="BG124" s="150"/>
      <c r="BH124" s="150"/>
      <c r="BI124" s="150"/>
      <c r="BJ124" s="150"/>
      <c r="BK124" s="150"/>
      <c r="BL124" s="150"/>
      <c r="BM124" s="150"/>
      <c r="BN124" s="150"/>
      <c r="BO124" s="150"/>
      <c r="BP124" s="150"/>
      <c r="BQ124" s="150"/>
      <c r="BR124" s="150"/>
      <c r="BS124" s="150"/>
      <c r="BT124" s="150"/>
      <c r="BU124" s="150"/>
      <c r="BV124" s="150"/>
      <c r="BW124" s="150"/>
      <c r="BX124" s="150"/>
      <c r="BY124" s="150"/>
      <c r="BZ124" s="150"/>
      <c r="CA124" s="150"/>
      <c r="CB124" s="150"/>
      <c r="CC124" s="150"/>
      <c r="CD124" s="150"/>
      <c r="CE124" s="150"/>
      <c r="CF124" s="150"/>
      <c r="CG124" s="150"/>
      <c r="CH124" s="150"/>
      <c r="CI124" s="150"/>
      <c r="CJ124" s="150"/>
      <c r="CK124" s="150"/>
      <c r="CL124" s="150"/>
      <c r="CM124" s="150"/>
      <c r="CN124" s="150"/>
      <c r="CO124" s="150"/>
      <c r="CP124" s="150"/>
      <c r="CQ124" s="150"/>
      <c r="CR124" s="150"/>
      <c r="CS124" s="150"/>
      <c r="CT124" s="150"/>
      <c r="CU124" s="150"/>
      <c r="CV124" s="150"/>
      <c r="CW124" s="150"/>
      <c r="CX124" s="150"/>
      <c r="CY124" s="150"/>
      <c r="CZ124" s="150"/>
      <c r="DA124" s="150"/>
      <c r="DB124" s="150"/>
      <c r="DC124" s="150"/>
      <c r="DD124" s="150"/>
      <c r="DE124" s="150"/>
      <c r="DF124" s="150"/>
      <c r="DG124" s="150"/>
      <c r="DH124" s="150"/>
      <c r="DI124" s="150"/>
      <c r="DJ124" s="150"/>
      <c r="DK124" s="150"/>
      <c r="DL124" s="150"/>
      <c r="DM124" s="150"/>
      <c r="DN124" s="150"/>
      <c r="DO124" s="150"/>
      <c r="DP124" s="150"/>
      <c r="DQ124" s="150"/>
      <c r="DR124" s="150"/>
      <c r="DS124" s="150"/>
      <c r="DT124" s="150"/>
      <c r="DU124" s="150"/>
      <c r="DV124" s="150"/>
      <c r="DW124" s="150"/>
      <c r="DX124" s="150"/>
      <c r="DY124" s="150"/>
      <c r="DZ124" s="150"/>
      <c r="EA124" s="150"/>
      <c r="EB124" s="150"/>
      <c r="EC124" s="150"/>
      <c r="ED124" s="150"/>
      <c r="EE124" s="150"/>
      <c r="EF124" s="150"/>
      <c r="EG124" s="150"/>
      <c r="EH124" s="150"/>
      <c r="EI124" s="150"/>
      <c r="EJ124" s="150"/>
      <c r="EK124" s="150"/>
      <c r="EL124" s="150"/>
      <c r="EM124" s="150"/>
      <c r="EN124" s="150"/>
      <c r="EO124" s="150"/>
      <c r="EP124" s="150"/>
      <c r="EQ124" s="150"/>
      <c r="ER124" s="150"/>
      <c r="ES124" s="150"/>
      <c r="ET124" s="150"/>
      <c r="EU124" s="150"/>
      <c r="EV124" s="150"/>
      <c r="EW124" s="150"/>
      <c r="EX124" s="150"/>
      <c r="EY124" s="150"/>
      <c r="EZ124" s="150"/>
      <c r="FA124" s="150"/>
      <c r="FB124" s="150"/>
      <c r="FC124" s="150"/>
      <c r="FD124" s="150"/>
      <c r="FE124" s="150"/>
      <c r="FF124" s="150"/>
      <c r="FG124" s="150"/>
      <c r="FH124" s="150"/>
      <c r="FI124" s="150"/>
      <c r="FJ124" s="150"/>
      <c r="FK124" s="150"/>
      <c r="FL124" s="150"/>
      <c r="FM124" s="150"/>
      <c r="FN124" s="150"/>
      <c r="FO124" s="150"/>
      <c r="FP124" s="150"/>
      <c r="FQ124" s="150"/>
      <c r="FR124" s="150"/>
      <c r="FS124" s="150"/>
      <c r="FT124" s="150"/>
      <c r="FU124" s="150"/>
      <c r="FV124" s="150"/>
      <c r="FW124" s="150"/>
      <c r="FX124" s="150"/>
      <c r="FY124" s="150"/>
      <c r="FZ124" s="150"/>
      <c r="GA124" s="150"/>
      <c r="GB124" s="150"/>
      <c r="GC124" s="150"/>
      <c r="GD124" s="150"/>
      <c r="GE124" s="150"/>
      <c r="GF124" s="150"/>
      <c r="GG124" s="150"/>
      <c r="GH124" s="150"/>
      <c r="GI124" s="150"/>
      <c r="GJ124" s="150"/>
      <c r="GK124" s="150"/>
      <c r="GL124" s="150"/>
      <c r="GM124" s="150"/>
      <c r="GN124" s="150"/>
      <c r="GO124" s="150"/>
      <c r="GP124" s="150"/>
      <c r="GQ124" s="150"/>
      <c r="GR124" s="150"/>
      <c r="GS124" s="150"/>
      <c r="GT124" s="150"/>
      <c r="GU124" s="150"/>
      <c r="GV124" s="150"/>
      <c r="GW124" s="150"/>
      <c r="GX124" s="150"/>
      <c r="GY124" s="150"/>
      <c r="GZ124" s="150"/>
      <c r="HA124" s="150"/>
      <c r="HB124" s="150"/>
      <c r="HC124" s="150"/>
      <c r="HD124" s="150"/>
      <c r="HE124" s="150"/>
      <c r="HF124" s="150"/>
      <c r="HG124" s="150"/>
      <c r="HH124" s="150"/>
      <c r="HI124" s="150"/>
      <c r="HJ124" s="150"/>
      <c r="HK124" s="150"/>
      <c r="HL124" s="150"/>
      <c r="HM124" s="150"/>
      <c r="HN124" s="150"/>
      <c r="HO124" s="150"/>
      <c r="HP124" s="150"/>
      <c r="HQ124" s="150"/>
      <c r="HR124" s="150"/>
      <c r="HS124" s="150"/>
      <c r="HT124" s="150"/>
      <c r="HU124" s="150"/>
      <c r="HV124" s="150"/>
      <c r="HW124" s="150"/>
      <c r="HX124" s="150"/>
      <c r="HY124" s="150"/>
      <c r="HZ124" s="150"/>
      <c r="IA124" s="150"/>
      <c r="IB124" s="150"/>
      <c r="IC124" s="150"/>
      <c r="ID124" s="150"/>
      <c r="IE124" s="150"/>
      <c r="IF124" s="150"/>
      <c r="IG124" s="150"/>
      <c r="IH124" s="150"/>
      <c r="II124" s="150"/>
      <c r="IJ124" s="150"/>
      <c r="IK124" s="150"/>
      <c r="IL124" s="150"/>
      <c r="IM124" s="150"/>
      <c r="IN124" s="150"/>
      <c r="IO124" s="150"/>
      <c r="IP124" s="150"/>
      <c r="IQ124" s="150"/>
      <c r="IR124" s="150"/>
      <c r="IS124" s="150"/>
      <c r="IT124" s="150"/>
      <c r="IU124" s="150"/>
      <c r="IV124" s="150"/>
      <c r="IW124" s="150"/>
      <c r="IX124" s="150"/>
      <c r="IY124" s="150"/>
      <c r="IZ124" s="150"/>
      <c r="JA124" s="150"/>
      <c r="JB124" s="150"/>
      <c r="JC124" s="150"/>
      <c r="JD124" s="150"/>
      <c r="JE124" s="150"/>
      <c r="JF124" s="150"/>
      <c r="JG124" s="150"/>
      <c r="JH124" s="150"/>
      <c r="JI124" s="150"/>
      <c r="JJ124" s="150"/>
      <c r="JK124" s="150"/>
      <c r="JL124" s="150"/>
      <c r="JM124" s="150"/>
      <c r="JN124" s="150"/>
      <c r="JO124" s="150"/>
      <c r="JP124" s="150"/>
      <c r="JQ124" s="150"/>
      <c r="JR124" s="150"/>
      <c r="JS124" s="150"/>
      <c r="JT124" s="150"/>
      <c r="JU124" s="150"/>
      <c r="JV124" s="150"/>
      <c r="JW124" s="150"/>
      <c r="JX124" s="150"/>
      <c r="JY124" s="150"/>
      <c r="JZ124" s="150"/>
      <c r="KA124" s="150"/>
      <c r="KB124" s="150"/>
      <c r="KC124" s="150"/>
      <c r="KD124" s="150"/>
      <c r="KE124" s="150"/>
      <c r="KF124" s="150"/>
      <c r="KG124" s="150"/>
      <c r="KH124" s="150"/>
      <c r="KI124" s="150"/>
      <c r="KJ124" s="150"/>
      <c r="KK124" s="150"/>
      <c r="KL124" s="150"/>
      <c r="KM124" s="150"/>
      <c r="KN124" s="150"/>
      <c r="KO124" s="150"/>
      <c r="KP124" s="150"/>
      <c r="KQ124" s="150"/>
      <c r="KR124" s="150"/>
      <c r="KS124" s="150"/>
      <c r="KT124" s="150"/>
      <c r="KU124" s="150"/>
      <c r="KV124" s="150"/>
      <c r="KW124" s="150"/>
      <c r="KX124" s="150"/>
      <c r="KY124" s="150"/>
      <c r="KZ124" s="150"/>
      <c r="LA124" s="150"/>
      <c r="LB124" s="150"/>
      <c r="LC124" s="150"/>
      <c r="LD124" s="150"/>
      <c r="LE124" s="150"/>
      <c r="LF124" s="150"/>
      <c r="LG124" s="150"/>
      <c r="LH124" s="150"/>
      <c r="LI124" s="150"/>
      <c r="LJ124" s="150"/>
      <c r="LK124" s="150"/>
      <c r="LL124" s="150"/>
      <c r="LM124" s="150"/>
      <c r="LN124" s="150"/>
      <c r="LO124" s="150"/>
      <c r="LP124" s="150"/>
      <c r="LQ124" s="150"/>
      <c r="LR124" s="150"/>
      <c r="LS124" s="150"/>
      <c r="LT124" s="150"/>
      <c r="LU124" s="150"/>
      <c r="LV124" s="150"/>
      <c r="LW124" s="150"/>
      <c r="LX124" s="150"/>
      <c r="LY124" s="150"/>
      <c r="LZ124" s="150"/>
      <c r="MA124" s="150"/>
      <c r="MB124" s="150"/>
      <c r="MC124" s="150"/>
      <c r="MD124" s="150"/>
      <c r="ME124" s="150"/>
      <c r="MF124" s="150"/>
      <c r="MG124" s="150"/>
      <c r="MH124" s="150"/>
      <c r="MI124" s="150"/>
      <c r="MJ124" s="150"/>
      <c r="MK124" s="150"/>
      <c r="ML124" s="150"/>
      <c r="MM124" s="150"/>
      <c r="MN124" s="150"/>
      <c r="MO124" s="150"/>
      <c r="MP124" s="150"/>
      <c r="MQ124" s="150"/>
      <c r="MR124" s="150"/>
      <c r="MS124" s="150"/>
      <c r="MT124" s="150"/>
      <c r="MU124" s="150"/>
      <c r="MV124" s="150"/>
      <c r="MW124" s="150"/>
      <c r="MX124" s="150"/>
      <c r="MY124" s="150"/>
      <c r="MZ124" s="150"/>
      <c r="NA124" s="150"/>
      <c r="NB124" s="150"/>
      <c r="NC124" s="150"/>
      <c r="ND124" s="150"/>
      <c r="NE124" s="150"/>
      <c r="NF124" s="150"/>
      <c r="NG124" s="150"/>
    </row>
    <row r="125" spans="1:371" ht="15" customHeight="1" x14ac:dyDescent="0.25">
      <c r="A125" s="162"/>
      <c r="B125" s="162"/>
      <c r="C125" s="162"/>
      <c r="D125" s="162"/>
      <c r="E125" s="162"/>
      <c r="F125" s="159"/>
      <c r="G125" s="159"/>
      <c r="H125" s="159"/>
      <c r="I125" s="159"/>
      <c r="J125" s="159"/>
      <c r="K125" s="159"/>
      <c r="L125" s="159"/>
      <c r="M125" s="159"/>
      <c r="N125" s="159"/>
      <c r="O125" s="159"/>
      <c r="P125" s="159"/>
      <c r="Q125" s="159"/>
      <c r="R125" t="s">
        <v>357</v>
      </c>
      <c r="S125" s="159"/>
      <c r="T125" s="159"/>
      <c r="U125" s="159"/>
      <c r="V125" s="159"/>
      <c r="W125" s="159"/>
      <c r="X125" s="159"/>
      <c r="Y125" s="159"/>
      <c r="Z125" s="159"/>
      <c r="AA125" s="159"/>
      <c r="AB125" s="159"/>
      <c r="AC125" s="159"/>
      <c r="AD125" s="159"/>
      <c r="AE125" s="159"/>
      <c r="AF125" s="159"/>
      <c r="AG125" s="159"/>
      <c r="AH125" s="159"/>
      <c r="AI125" s="159"/>
      <c r="AJ125" s="159"/>
      <c r="AK125" s="159"/>
      <c r="AL125" s="159"/>
      <c r="AM125" s="159"/>
      <c r="AN125" s="159"/>
      <c r="AO125" s="159"/>
      <c r="AP125" s="159"/>
      <c r="AQ125" s="159"/>
      <c r="AR125" s="159"/>
      <c r="AS125" s="159"/>
      <c r="AT125" s="159"/>
      <c r="AU125" s="159"/>
      <c r="AV125" s="159"/>
      <c r="AW125" s="159"/>
      <c r="AX125" s="159"/>
      <c r="AY125" s="159"/>
      <c r="AZ125" s="159"/>
      <c r="BA125" s="159"/>
      <c r="BB125" s="159"/>
      <c r="BC125" s="159"/>
      <c r="BD125" s="159"/>
      <c r="BE125" s="159"/>
      <c r="BF125" s="159"/>
      <c r="BG125" s="159"/>
      <c r="BH125" s="159"/>
      <c r="BI125" s="159"/>
      <c r="BJ125" s="159"/>
      <c r="BK125" s="159"/>
      <c r="BL125" s="159"/>
      <c r="BM125" s="159"/>
      <c r="BN125" s="159"/>
      <c r="BO125" s="159"/>
      <c r="BP125" s="159"/>
      <c r="BQ125" s="159"/>
      <c r="BR125" s="159"/>
      <c r="BS125" s="159"/>
      <c r="BT125" s="159"/>
      <c r="BU125" s="159"/>
      <c r="BV125" s="159"/>
      <c r="BW125" s="159"/>
      <c r="BX125" s="159"/>
      <c r="BY125" s="159"/>
      <c r="BZ125" s="159"/>
      <c r="CA125" s="159"/>
      <c r="CB125" s="159"/>
      <c r="CC125" s="159"/>
      <c r="CD125" s="159"/>
      <c r="CE125" s="159"/>
      <c r="CF125" s="159"/>
      <c r="CG125" s="159"/>
      <c r="CH125" s="159"/>
      <c r="CI125" s="159"/>
      <c r="CJ125" s="159"/>
      <c r="CK125" s="159"/>
      <c r="CL125" s="159"/>
      <c r="CM125" s="159"/>
      <c r="CN125" s="159"/>
      <c r="CO125" s="159"/>
      <c r="CP125" s="159"/>
      <c r="CQ125" s="159"/>
      <c r="CR125" s="159"/>
      <c r="CS125" s="159"/>
      <c r="CT125" s="159"/>
      <c r="CU125" s="159"/>
      <c r="CV125" s="159"/>
      <c r="CW125" s="159"/>
      <c r="CX125" s="159"/>
      <c r="CY125" s="159"/>
      <c r="CZ125" s="159"/>
      <c r="DA125" s="159"/>
      <c r="DB125" s="159"/>
      <c r="DC125" s="159"/>
      <c r="DD125" s="159"/>
      <c r="DE125" s="159"/>
      <c r="DF125" s="159"/>
      <c r="DG125" s="159"/>
      <c r="DH125" s="159"/>
      <c r="DI125" s="159"/>
      <c r="DJ125" s="159"/>
      <c r="DK125" s="159"/>
      <c r="DL125" s="159"/>
      <c r="DM125" s="159"/>
      <c r="DN125" s="159"/>
      <c r="DO125" s="159"/>
      <c r="DP125" s="159"/>
      <c r="DQ125" s="159"/>
      <c r="DR125" s="159"/>
      <c r="DS125" s="159"/>
      <c r="DT125" s="159"/>
      <c r="DU125" s="159"/>
      <c r="DV125" s="159"/>
      <c r="DW125" s="159"/>
      <c r="DX125" s="159"/>
      <c r="DY125" s="159"/>
      <c r="DZ125" s="159"/>
      <c r="EA125" s="159"/>
      <c r="EB125" s="159"/>
      <c r="EC125" s="159"/>
      <c r="ED125" s="159"/>
      <c r="EE125" s="159"/>
      <c r="EF125" s="159"/>
      <c r="EG125" s="159"/>
      <c r="EH125" s="159"/>
      <c r="EI125" s="159"/>
      <c r="EJ125" s="159"/>
      <c r="EK125" s="159"/>
      <c r="EL125" s="159"/>
      <c r="EM125" s="159"/>
      <c r="EN125" s="159"/>
      <c r="EO125" s="159"/>
      <c r="EP125" s="159"/>
      <c r="EQ125" s="159"/>
      <c r="ER125" s="159"/>
      <c r="ES125" s="159"/>
      <c r="ET125" s="159"/>
      <c r="EU125" s="159"/>
      <c r="EV125" s="159"/>
      <c r="EW125" s="159"/>
      <c r="EX125" s="159"/>
      <c r="EY125" s="159"/>
      <c r="EZ125" s="159"/>
      <c r="FA125" s="159"/>
      <c r="FB125" s="159"/>
      <c r="FC125" s="159"/>
      <c r="FD125" s="159"/>
      <c r="FE125" s="159"/>
      <c r="FF125" s="159"/>
      <c r="FG125" s="159"/>
      <c r="FH125" s="159"/>
      <c r="FI125" s="159"/>
      <c r="FJ125" s="159"/>
      <c r="FK125" s="159"/>
      <c r="FL125" s="159"/>
      <c r="FM125" s="159"/>
      <c r="FN125" s="159"/>
      <c r="FO125" s="159"/>
      <c r="FP125" s="159"/>
      <c r="FQ125" s="159"/>
      <c r="FR125" s="159"/>
      <c r="FS125" s="159"/>
      <c r="FT125" s="159"/>
      <c r="FU125" s="159"/>
      <c r="FV125" s="159"/>
      <c r="FW125" s="159"/>
      <c r="FX125" s="159"/>
      <c r="FY125" s="159"/>
      <c r="FZ125" s="159"/>
      <c r="GA125" s="159"/>
      <c r="GB125" s="159"/>
      <c r="GC125" s="159"/>
      <c r="GD125" s="159"/>
      <c r="GE125" s="159"/>
      <c r="GF125" s="159"/>
      <c r="GG125" s="159"/>
      <c r="GH125" s="159"/>
      <c r="GI125" s="159"/>
      <c r="GJ125" s="159"/>
      <c r="GK125" s="159"/>
      <c r="GL125" s="159"/>
      <c r="GM125" s="159"/>
      <c r="GN125" s="159"/>
      <c r="GO125" s="159"/>
      <c r="GP125" s="159"/>
      <c r="GQ125" s="159"/>
      <c r="GR125" s="159"/>
      <c r="GS125" s="159"/>
      <c r="GT125" s="159"/>
      <c r="GU125" s="159"/>
      <c r="GV125" s="159"/>
      <c r="GW125" s="159"/>
      <c r="GX125" s="159"/>
      <c r="GY125" s="159"/>
      <c r="GZ125" s="159"/>
      <c r="HA125" s="159"/>
      <c r="HB125" s="159"/>
      <c r="HC125" s="159"/>
      <c r="HD125" s="159"/>
      <c r="HE125" s="159"/>
      <c r="HF125" s="159"/>
      <c r="HG125" s="159"/>
      <c r="HH125" s="159"/>
      <c r="HI125" s="159"/>
      <c r="HJ125" s="159"/>
      <c r="HK125" s="159"/>
      <c r="HL125" s="159"/>
      <c r="HM125" s="159"/>
      <c r="HN125" s="159"/>
      <c r="HO125" s="159"/>
      <c r="HP125" s="159"/>
      <c r="HQ125" s="159"/>
      <c r="HR125" s="159"/>
      <c r="HS125" s="159"/>
      <c r="HT125" s="159"/>
      <c r="HU125" s="159"/>
      <c r="HV125" s="159"/>
      <c r="HW125" s="159"/>
      <c r="HX125" s="159"/>
      <c r="HY125" s="159"/>
      <c r="HZ125" s="159"/>
      <c r="IA125" s="159"/>
      <c r="IB125" s="159"/>
      <c r="IC125" s="159"/>
      <c r="ID125" s="159"/>
      <c r="IE125" s="159"/>
      <c r="IF125" s="159"/>
      <c r="IG125" s="159"/>
      <c r="IH125" s="159"/>
      <c r="II125" s="159"/>
      <c r="IJ125" s="159"/>
      <c r="IK125" s="159"/>
      <c r="IL125" s="159"/>
      <c r="IM125" s="159"/>
      <c r="IN125" s="159"/>
      <c r="IO125" s="159"/>
      <c r="IP125" s="159"/>
      <c r="IQ125" s="159"/>
      <c r="IR125" s="159"/>
      <c r="IS125" s="159"/>
      <c r="IT125" s="159"/>
      <c r="IU125" s="159"/>
      <c r="IV125" s="159"/>
      <c r="IW125" s="159"/>
      <c r="IX125" s="159"/>
      <c r="IY125" s="159"/>
      <c r="IZ125" s="159"/>
      <c r="JA125" s="159"/>
      <c r="JB125" s="159"/>
      <c r="JC125" s="159"/>
      <c r="JD125" s="159"/>
      <c r="JE125" s="159"/>
      <c r="JF125" s="159"/>
      <c r="JG125" s="159"/>
      <c r="JH125" s="159"/>
      <c r="JI125" s="159"/>
      <c r="JJ125" s="159"/>
      <c r="JK125" s="159"/>
      <c r="JL125" s="159"/>
      <c r="JM125" s="159"/>
      <c r="JN125" s="159"/>
      <c r="JO125" s="159"/>
      <c r="JP125" s="159"/>
      <c r="JQ125" s="159"/>
      <c r="JR125" s="159"/>
      <c r="JS125" s="159"/>
      <c r="JT125" s="159"/>
      <c r="JU125" s="159"/>
      <c r="JV125" s="159"/>
      <c r="JW125" s="159"/>
      <c r="JX125" s="159"/>
      <c r="JY125" s="159"/>
      <c r="JZ125" s="159"/>
      <c r="KA125" s="159"/>
      <c r="KB125" s="159"/>
      <c r="KC125" s="159"/>
      <c r="KD125" s="159"/>
      <c r="KE125" s="159"/>
      <c r="KF125" s="159"/>
      <c r="KG125" s="159"/>
      <c r="KH125" s="159"/>
      <c r="KI125" s="159"/>
      <c r="KJ125" s="159"/>
      <c r="KK125" s="159"/>
      <c r="KL125" s="159"/>
      <c r="KM125" s="159"/>
      <c r="KN125" s="159"/>
      <c r="KO125" s="159"/>
      <c r="KP125" s="159"/>
      <c r="KQ125" s="159"/>
      <c r="KR125" s="159"/>
      <c r="KS125" s="159"/>
      <c r="KT125" s="159"/>
      <c r="KU125" s="159"/>
      <c r="KV125" s="159"/>
      <c r="KW125" s="159"/>
      <c r="KX125" s="159"/>
      <c r="KY125" s="159"/>
      <c r="KZ125" s="159"/>
      <c r="LA125" s="159"/>
      <c r="LB125" s="159"/>
      <c r="LC125" s="159"/>
      <c r="LD125" s="159"/>
      <c r="LE125" s="159"/>
      <c r="LF125" s="159"/>
      <c r="LG125" s="159"/>
      <c r="LH125" s="159"/>
      <c r="LI125" s="159"/>
      <c r="LJ125" s="159"/>
      <c r="LK125" s="159"/>
      <c r="LL125" s="159"/>
      <c r="LM125" s="159"/>
      <c r="LN125" s="159"/>
      <c r="LO125" s="159"/>
      <c r="LP125" s="159"/>
      <c r="LQ125" s="159"/>
      <c r="LR125" s="159"/>
      <c r="LS125" s="159"/>
      <c r="LT125" s="159"/>
      <c r="LU125" s="159"/>
      <c r="LV125" s="159"/>
      <c r="LW125" s="159"/>
      <c r="LX125" s="159"/>
      <c r="LY125" s="159"/>
      <c r="LZ125" s="159"/>
      <c r="MA125" s="159"/>
      <c r="MB125" s="159"/>
      <c r="MC125" s="159"/>
      <c r="MD125" s="159"/>
      <c r="ME125" s="159"/>
      <c r="MF125" s="159"/>
      <c r="MG125" s="159"/>
      <c r="MH125" s="159"/>
      <c r="MI125" s="159"/>
      <c r="MJ125" s="159"/>
      <c r="MK125" s="159"/>
      <c r="ML125" s="159"/>
      <c r="MM125" s="159"/>
      <c r="MN125" s="159"/>
      <c r="MO125" s="159"/>
      <c r="MP125" s="159"/>
      <c r="MQ125" s="159"/>
      <c r="MR125" s="159"/>
      <c r="MS125" s="159"/>
      <c r="MT125" s="159"/>
      <c r="MU125" s="159"/>
      <c r="MV125" s="159"/>
      <c r="MW125" s="159"/>
      <c r="MX125" s="159"/>
      <c r="MY125" s="159"/>
      <c r="MZ125" s="159"/>
      <c r="NA125" s="159"/>
      <c r="NB125" s="159"/>
      <c r="NC125" s="159"/>
      <c r="ND125" s="159"/>
      <c r="NE125" s="159"/>
      <c r="NF125" s="159"/>
      <c r="NG125" s="159"/>
    </row>
    <row r="126" spans="1:371" ht="28.5" x14ac:dyDescent="0.25">
      <c r="A126" s="165" t="s">
        <v>193</v>
      </c>
      <c r="B126" s="166" t="s">
        <v>348</v>
      </c>
      <c r="C126" s="167" t="s">
        <v>289</v>
      </c>
      <c r="D126" s="166" t="s">
        <v>194</v>
      </c>
      <c r="E126" s="167" t="s">
        <v>367</v>
      </c>
      <c r="F126" s="168" t="s">
        <v>354</v>
      </c>
      <c r="G126" s="168" t="s">
        <v>355</v>
      </c>
      <c r="H126" s="168" t="s">
        <v>356</v>
      </c>
      <c r="I126" s="168" t="s">
        <v>357</v>
      </c>
      <c r="J126" s="168" t="s">
        <v>358</v>
      </c>
      <c r="K126" s="168" t="s">
        <v>359</v>
      </c>
      <c r="L126" s="168" t="s">
        <v>360</v>
      </c>
      <c r="M126" s="168" t="s">
        <v>361</v>
      </c>
      <c r="N126" s="168" t="s">
        <v>362</v>
      </c>
      <c r="O126" s="168" t="s">
        <v>363</v>
      </c>
      <c r="P126" s="168" t="s">
        <v>364</v>
      </c>
      <c r="Q126" s="160"/>
      <c r="R126" t="s">
        <v>358</v>
      </c>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c r="BW126" s="160"/>
      <c r="BX126" s="160"/>
      <c r="BY126" s="160"/>
      <c r="BZ126" s="160"/>
      <c r="CA126" s="160"/>
      <c r="CB126" s="160"/>
      <c r="CC126" s="160"/>
      <c r="CD126" s="160"/>
      <c r="CE126" s="160"/>
      <c r="CF126" s="160"/>
      <c r="CG126" s="160"/>
      <c r="CH126" s="160"/>
      <c r="CI126" s="160"/>
      <c r="CJ126" s="160"/>
      <c r="CK126" s="160"/>
      <c r="CL126" s="160"/>
      <c r="CM126" s="160"/>
      <c r="CN126" s="160"/>
      <c r="CO126" s="160"/>
      <c r="CP126" s="160"/>
      <c r="CQ126" s="160"/>
      <c r="CR126" s="160"/>
      <c r="CS126" s="160"/>
      <c r="CT126" s="160"/>
      <c r="CU126" s="160"/>
      <c r="CV126" s="160"/>
      <c r="CW126" s="160"/>
      <c r="CX126" s="160"/>
      <c r="CY126" s="160"/>
      <c r="CZ126" s="160"/>
      <c r="DA126" s="160"/>
      <c r="DB126" s="160"/>
      <c r="DC126" s="160"/>
      <c r="DD126" s="160"/>
      <c r="DE126" s="160"/>
      <c r="DF126" s="160"/>
      <c r="DG126" s="160"/>
      <c r="DH126" s="160"/>
      <c r="DI126" s="160"/>
      <c r="DJ126" s="160"/>
      <c r="DK126" s="160"/>
      <c r="DL126" s="160"/>
      <c r="DM126" s="160"/>
      <c r="DN126" s="160"/>
      <c r="DO126" s="160"/>
      <c r="DP126" s="160"/>
      <c r="DQ126" s="160"/>
      <c r="DR126" s="160"/>
      <c r="DS126" s="160"/>
      <c r="DT126" s="160"/>
      <c r="DU126" s="160"/>
      <c r="DV126" s="160"/>
      <c r="DW126" s="160"/>
      <c r="DX126" s="160"/>
      <c r="DY126" s="160"/>
      <c r="DZ126" s="160"/>
      <c r="EA126" s="160"/>
      <c r="EB126" s="160"/>
      <c r="EC126" s="160"/>
      <c r="ED126" s="160"/>
      <c r="EE126" s="160"/>
      <c r="EF126" s="160"/>
      <c r="EG126" s="160"/>
      <c r="EH126" s="160"/>
      <c r="EI126" s="160"/>
      <c r="EJ126" s="160"/>
      <c r="EK126" s="160"/>
      <c r="EL126" s="160"/>
      <c r="EM126" s="160"/>
      <c r="EN126" s="160"/>
      <c r="EO126" s="160"/>
      <c r="EP126" s="160"/>
      <c r="EQ126" s="160"/>
      <c r="ER126" s="160"/>
      <c r="ES126" s="160"/>
      <c r="ET126" s="160"/>
      <c r="EU126" s="160"/>
      <c r="EV126" s="160"/>
      <c r="EW126" s="160"/>
      <c r="EX126" s="160"/>
      <c r="EY126" s="160"/>
      <c r="EZ126" s="160"/>
      <c r="FA126" s="160"/>
      <c r="FB126" s="160"/>
      <c r="FC126" s="160"/>
      <c r="FD126" s="160"/>
      <c r="FE126" s="160"/>
      <c r="FF126" s="160"/>
      <c r="FG126" s="160"/>
      <c r="FH126" s="160"/>
      <c r="FI126" s="160"/>
      <c r="FJ126" s="160"/>
      <c r="FK126" s="160"/>
      <c r="FL126" s="160"/>
      <c r="FM126" s="160"/>
      <c r="FN126" s="160"/>
      <c r="FO126" s="160"/>
      <c r="FP126" s="160"/>
      <c r="FQ126" s="160"/>
      <c r="FR126" s="160"/>
      <c r="FS126" s="160"/>
      <c r="FT126" s="160"/>
      <c r="FU126" s="160"/>
      <c r="FV126" s="160"/>
      <c r="FW126" s="160"/>
      <c r="FX126" s="160"/>
      <c r="FY126" s="160"/>
      <c r="FZ126" s="160"/>
      <c r="GA126" s="160"/>
      <c r="GB126" s="160"/>
      <c r="GC126" s="160"/>
      <c r="GD126" s="160"/>
      <c r="GE126" s="160"/>
      <c r="GF126" s="160"/>
      <c r="GG126" s="160"/>
      <c r="GH126" s="160"/>
      <c r="GI126" s="160"/>
      <c r="GJ126" s="160"/>
      <c r="GK126" s="160"/>
      <c r="GL126" s="160"/>
      <c r="GM126" s="160"/>
      <c r="GN126" s="160"/>
      <c r="GO126" s="160"/>
      <c r="GP126" s="160"/>
      <c r="GQ126" s="160"/>
      <c r="GR126" s="160"/>
      <c r="GS126" s="160"/>
      <c r="GT126" s="160"/>
      <c r="GU126" s="160"/>
      <c r="GV126" s="160"/>
      <c r="GW126" s="160"/>
      <c r="GX126" s="160"/>
      <c r="GY126" s="160"/>
      <c r="GZ126" s="160"/>
      <c r="HA126" s="160"/>
      <c r="HB126" s="160"/>
      <c r="HC126" s="160"/>
      <c r="HD126" s="160"/>
      <c r="HE126" s="160"/>
      <c r="HF126" s="160"/>
      <c r="HG126" s="160"/>
      <c r="HH126" s="160"/>
      <c r="HI126" s="160"/>
      <c r="HJ126" s="160"/>
      <c r="HK126" s="160"/>
      <c r="HL126" s="160"/>
      <c r="HM126" s="160"/>
      <c r="HN126" s="160"/>
      <c r="HO126" s="160"/>
      <c r="HP126" s="160"/>
      <c r="HQ126" s="160"/>
      <c r="HR126" s="160"/>
      <c r="HS126" s="160"/>
      <c r="HT126" s="160"/>
      <c r="HU126" s="160"/>
      <c r="HV126" s="160"/>
      <c r="HW126" s="160"/>
      <c r="HX126" s="160"/>
      <c r="HY126" s="160"/>
      <c r="HZ126" s="160"/>
      <c r="IA126" s="160"/>
      <c r="IB126" s="160"/>
      <c r="IC126" s="160"/>
      <c r="ID126" s="160"/>
      <c r="IE126" s="160"/>
      <c r="IF126" s="160"/>
      <c r="IG126" s="160"/>
      <c r="IH126" s="160"/>
      <c r="II126" s="160"/>
      <c r="IJ126" s="160"/>
      <c r="IK126" s="160"/>
      <c r="IL126" s="160"/>
      <c r="IM126" s="160"/>
      <c r="IN126" s="160"/>
      <c r="IO126" s="160"/>
      <c r="IP126" s="160"/>
      <c r="IQ126" s="160"/>
      <c r="IR126" s="160"/>
      <c r="IS126" s="160"/>
      <c r="IT126" s="160"/>
      <c r="IU126" s="160"/>
      <c r="IV126" s="160"/>
      <c r="IW126" s="160"/>
      <c r="IX126" s="160"/>
      <c r="IY126" s="160"/>
      <c r="IZ126" s="160"/>
      <c r="JA126" s="160"/>
      <c r="JB126" s="160"/>
      <c r="JC126" s="160"/>
      <c r="JD126" s="160"/>
      <c r="JE126" s="160"/>
      <c r="JF126" s="160"/>
      <c r="JG126" s="160"/>
      <c r="JH126" s="160"/>
      <c r="JI126" s="160"/>
      <c r="JJ126" s="160"/>
      <c r="JK126" s="160"/>
      <c r="JL126" s="160"/>
      <c r="JM126" s="160"/>
      <c r="JN126" s="160"/>
      <c r="JO126" s="160"/>
      <c r="JP126" s="160"/>
      <c r="JQ126" s="160"/>
      <c r="JR126" s="160"/>
      <c r="JS126" s="160"/>
      <c r="JT126" s="160"/>
      <c r="JU126" s="160"/>
      <c r="JV126" s="160"/>
      <c r="JW126" s="160"/>
      <c r="JX126" s="160"/>
      <c r="JY126" s="160"/>
      <c r="JZ126" s="160"/>
      <c r="KA126" s="160"/>
      <c r="KB126" s="160"/>
      <c r="KC126" s="160"/>
      <c r="KD126" s="160"/>
      <c r="KE126" s="160"/>
      <c r="KF126" s="160"/>
      <c r="KG126" s="160"/>
      <c r="KH126" s="160"/>
      <c r="KI126" s="160"/>
      <c r="KJ126" s="160"/>
      <c r="KK126" s="160"/>
      <c r="KL126" s="160"/>
      <c r="KM126" s="160"/>
      <c r="KN126" s="160"/>
      <c r="KO126" s="160"/>
      <c r="KP126" s="160"/>
      <c r="KQ126" s="160"/>
      <c r="KR126" s="160"/>
      <c r="KS126" s="160"/>
      <c r="KT126" s="160"/>
      <c r="KU126" s="160"/>
      <c r="KV126" s="160"/>
      <c r="KW126" s="160"/>
      <c r="KX126" s="160"/>
      <c r="KY126" s="160"/>
      <c r="KZ126" s="160"/>
      <c r="LA126" s="160"/>
      <c r="LB126" s="160"/>
      <c r="LC126" s="160"/>
      <c r="LD126" s="160"/>
      <c r="LE126" s="160"/>
      <c r="LF126" s="160"/>
      <c r="LG126" s="160"/>
      <c r="LH126" s="160"/>
      <c r="LI126" s="160"/>
      <c r="LJ126" s="160"/>
      <c r="LK126" s="160"/>
      <c r="LL126" s="160"/>
      <c r="LM126" s="160"/>
      <c r="LN126" s="160"/>
      <c r="LO126" s="160"/>
      <c r="LP126" s="160"/>
      <c r="LQ126" s="160"/>
      <c r="LR126" s="160"/>
      <c r="LS126" s="160"/>
      <c r="LT126" s="160"/>
      <c r="LU126" s="160"/>
      <c r="LV126" s="160"/>
      <c r="LW126" s="160"/>
      <c r="LX126" s="160"/>
      <c r="LY126" s="160"/>
      <c r="LZ126" s="160"/>
      <c r="MA126" s="160"/>
      <c r="MB126" s="160"/>
      <c r="MC126" s="160"/>
      <c r="MD126" s="160"/>
      <c r="ME126" s="160"/>
      <c r="MF126" s="160"/>
      <c r="MG126" s="160"/>
      <c r="MH126" s="160"/>
      <c r="MI126" s="160"/>
      <c r="MJ126" s="160"/>
      <c r="MK126" s="160"/>
      <c r="ML126" s="160"/>
      <c r="MM126" s="160"/>
      <c r="MN126" s="160"/>
      <c r="MO126" s="160"/>
      <c r="MP126" s="160"/>
      <c r="MQ126" s="160"/>
      <c r="MR126" s="160"/>
      <c r="MS126" s="160"/>
      <c r="MT126" s="160"/>
      <c r="MU126" s="160"/>
      <c r="MV126" s="160"/>
      <c r="MW126" s="160"/>
      <c r="MX126" s="160"/>
      <c r="MY126" s="160"/>
      <c r="MZ126" s="160"/>
      <c r="NA126" s="160"/>
      <c r="NB126" s="160"/>
      <c r="NC126" s="160"/>
      <c r="ND126" s="160"/>
      <c r="NE126" s="160"/>
      <c r="NF126" s="160"/>
      <c r="NG126" s="160"/>
    </row>
    <row r="127" spans="1:371" x14ac:dyDescent="0.25">
      <c r="A127" s="169">
        <v>1</v>
      </c>
      <c r="B127" s="170" t="s">
        <v>332</v>
      </c>
      <c r="C127" s="171">
        <v>1</v>
      </c>
      <c r="D127" s="172" t="s">
        <v>96</v>
      </c>
      <c r="E127" s="173">
        <v>0</v>
      </c>
      <c r="F127" s="173">
        <v>0</v>
      </c>
      <c r="G127" s="173">
        <v>0</v>
      </c>
      <c r="H127" s="173">
        <v>0</v>
      </c>
      <c r="I127" s="173">
        <v>0</v>
      </c>
      <c r="J127" s="173">
        <v>0</v>
      </c>
      <c r="K127" s="173">
        <v>0</v>
      </c>
      <c r="L127" s="173"/>
      <c r="M127" s="173"/>
      <c r="N127" s="173"/>
      <c r="O127" s="173"/>
      <c r="P127" s="173"/>
      <c r="Q127" s="155"/>
      <c r="R127" t="s">
        <v>359</v>
      </c>
      <c r="S127" s="155"/>
      <c r="T127" s="155"/>
      <c r="U127" s="155"/>
      <c r="V127" s="155"/>
      <c r="W127" s="155"/>
      <c r="X127" s="155"/>
      <c r="Y127" s="155"/>
      <c r="Z127" s="155"/>
      <c r="AA127" s="155"/>
      <c r="AB127" s="155"/>
      <c r="AC127" s="155"/>
      <c r="AD127" s="155"/>
      <c r="AE127" s="155"/>
      <c r="AF127" s="155"/>
      <c r="AG127" s="155"/>
      <c r="AH127" s="155"/>
      <c r="AI127" s="155"/>
      <c r="AJ127" s="155"/>
      <c r="AK127" s="155"/>
      <c r="AL127" s="156"/>
      <c r="AM127" s="156"/>
      <c r="AN127" s="156"/>
      <c r="AO127" s="156"/>
      <c r="AP127" s="155"/>
      <c r="AQ127" s="155"/>
      <c r="AR127" s="155"/>
      <c r="AS127" s="155"/>
      <c r="AT127" s="155"/>
      <c r="AU127" s="155"/>
      <c r="AV127" s="155"/>
      <c r="AW127" s="155"/>
      <c r="AX127" s="155"/>
      <c r="AY127" s="155"/>
      <c r="AZ127" s="155"/>
      <c r="BA127" s="155"/>
      <c r="BB127" s="155"/>
      <c r="BC127" s="155"/>
      <c r="BD127" s="155"/>
      <c r="BE127" s="155"/>
      <c r="BF127" s="155"/>
      <c r="BG127" s="155"/>
      <c r="BH127" s="155"/>
      <c r="BI127" s="155"/>
      <c r="BJ127" s="155"/>
      <c r="BK127" s="155"/>
      <c r="BL127" s="155"/>
      <c r="BM127" s="155"/>
      <c r="BN127" s="155"/>
      <c r="BO127" s="155"/>
      <c r="BP127" s="155"/>
      <c r="BQ127" s="155"/>
      <c r="BR127" s="155"/>
      <c r="BS127" s="155"/>
      <c r="BT127" s="155"/>
      <c r="BU127" s="155"/>
      <c r="BV127" s="155"/>
      <c r="BW127" s="155"/>
      <c r="BX127" s="155"/>
      <c r="BY127" s="155"/>
      <c r="BZ127" s="155"/>
      <c r="CA127" s="155"/>
      <c r="CB127" s="155"/>
      <c r="CC127" s="155"/>
      <c r="CD127" s="155"/>
      <c r="CE127" s="155"/>
      <c r="CF127" s="155"/>
      <c r="CG127" s="155"/>
      <c r="CH127" s="155"/>
      <c r="CI127" s="155"/>
      <c r="CJ127" s="155"/>
      <c r="CK127" s="155"/>
      <c r="CL127" s="155"/>
      <c r="CM127" s="155"/>
      <c r="CN127" s="155"/>
      <c r="CO127" s="155"/>
      <c r="CP127" s="155"/>
      <c r="CQ127" s="155"/>
      <c r="CR127" s="155"/>
    </row>
    <row r="128" spans="1:371" x14ac:dyDescent="0.25">
      <c r="A128" s="174">
        <v>2</v>
      </c>
      <c r="B128" s="175" t="s">
        <v>332</v>
      </c>
      <c r="C128" s="176">
        <v>2</v>
      </c>
      <c r="D128" s="177" t="s">
        <v>97</v>
      </c>
      <c r="E128" s="178">
        <v>0</v>
      </c>
      <c r="F128" s="178">
        <v>0</v>
      </c>
      <c r="G128" s="178">
        <v>0</v>
      </c>
      <c r="H128" s="178">
        <v>0</v>
      </c>
      <c r="I128" s="178">
        <v>0</v>
      </c>
      <c r="J128" s="178">
        <v>0</v>
      </c>
      <c r="K128" s="178">
        <v>0</v>
      </c>
      <c r="L128" s="178"/>
      <c r="M128" s="178"/>
      <c r="N128" s="178"/>
      <c r="O128" s="178"/>
      <c r="P128" s="178"/>
      <c r="Q128" s="155"/>
      <c r="R128" t="s">
        <v>360</v>
      </c>
      <c r="S128" s="155"/>
      <c r="T128" s="155"/>
      <c r="U128" s="155"/>
      <c r="V128" s="155"/>
      <c r="W128" s="155"/>
      <c r="X128" s="155"/>
      <c r="Y128" s="155"/>
      <c r="Z128" s="155"/>
      <c r="AA128" s="155"/>
      <c r="AB128" s="155"/>
      <c r="AC128" s="155"/>
      <c r="AD128" s="155"/>
      <c r="AE128" s="155"/>
      <c r="AF128" s="155"/>
      <c r="AG128" s="155"/>
      <c r="AH128" s="155"/>
      <c r="AI128" s="155"/>
      <c r="AJ128" s="155"/>
      <c r="AK128" s="155"/>
      <c r="AL128" s="156"/>
      <c r="AM128" s="156"/>
      <c r="AN128" s="156"/>
      <c r="AO128" s="156"/>
      <c r="AP128" s="155"/>
      <c r="AQ128" s="155"/>
      <c r="AR128" s="155"/>
      <c r="AS128" s="155"/>
      <c r="AT128" s="155"/>
      <c r="AU128" s="155"/>
      <c r="AV128" s="155"/>
      <c r="AW128" s="155"/>
      <c r="AX128" s="155"/>
      <c r="AY128" s="155"/>
      <c r="AZ128" s="155"/>
      <c r="BA128" s="155"/>
      <c r="BB128" s="155"/>
      <c r="BC128" s="155"/>
      <c r="BD128" s="155"/>
      <c r="BE128" s="155"/>
      <c r="BF128" s="155"/>
      <c r="BG128" s="155"/>
      <c r="BH128" s="155"/>
      <c r="BI128" s="155"/>
      <c r="BJ128" s="155"/>
      <c r="BK128" s="155"/>
      <c r="BL128" s="155"/>
      <c r="BM128" s="155"/>
      <c r="BN128" s="155"/>
      <c r="BO128" s="155"/>
      <c r="BP128" s="155"/>
      <c r="BQ128" s="155"/>
      <c r="BR128" s="155"/>
      <c r="BS128" s="155"/>
      <c r="BT128" s="155"/>
      <c r="BU128" s="155"/>
      <c r="BV128" s="155"/>
      <c r="BW128" s="155"/>
      <c r="BX128" s="155"/>
      <c r="BY128" s="155"/>
      <c r="BZ128" s="155"/>
      <c r="CA128" s="155"/>
      <c r="CB128" s="155"/>
      <c r="CC128" s="155"/>
      <c r="CD128" s="155"/>
      <c r="CE128" s="155"/>
      <c r="CF128" s="155"/>
      <c r="CG128" s="155"/>
      <c r="CH128" s="155"/>
      <c r="CI128" s="155"/>
      <c r="CJ128" s="155"/>
      <c r="CK128" s="155"/>
      <c r="CL128" s="155"/>
      <c r="CM128" s="155"/>
      <c r="CN128" s="155"/>
      <c r="CO128" s="155"/>
      <c r="CP128" s="155"/>
      <c r="CQ128" s="155"/>
      <c r="CR128" s="155"/>
    </row>
    <row r="129" spans="1:96" x14ac:dyDescent="0.25">
      <c r="A129" s="179">
        <v>3</v>
      </c>
      <c r="B129" s="180" t="s">
        <v>332</v>
      </c>
      <c r="C129" s="181">
        <v>3</v>
      </c>
      <c r="D129" s="182" t="s">
        <v>98</v>
      </c>
      <c r="E129" s="183">
        <v>0</v>
      </c>
      <c r="F129" s="183">
        <v>0</v>
      </c>
      <c r="G129" s="183">
        <v>0</v>
      </c>
      <c r="H129" s="183">
        <v>0</v>
      </c>
      <c r="I129" s="183">
        <v>0</v>
      </c>
      <c r="J129" s="183">
        <v>1.5</v>
      </c>
      <c r="K129" s="183">
        <v>0.5</v>
      </c>
      <c r="L129" s="183"/>
      <c r="M129" s="183"/>
      <c r="N129" s="183"/>
      <c r="O129" s="183"/>
      <c r="P129" s="183"/>
      <c r="Q129" s="155"/>
      <c r="R129" t="s">
        <v>361</v>
      </c>
      <c r="S129" s="155"/>
      <c r="T129" s="155"/>
      <c r="U129" s="155"/>
      <c r="V129" s="155"/>
      <c r="W129" s="155"/>
      <c r="X129" s="155"/>
      <c r="Y129" s="155"/>
      <c r="Z129" s="155"/>
      <c r="AA129" s="155"/>
      <c r="AB129" s="155"/>
      <c r="AC129" s="155"/>
      <c r="AD129" s="155"/>
      <c r="AE129" s="155"/>
      <c r="AF129" s="155"/>
      <c r="AG129" s="155"/>
      <c r="AH129" s="155"/>
      <c r="AI129" s="155"/>
      <c r="AJ129" s="155"/>
      <c r="AK129" s="155"/>
      <c r="AL129" s="156"/>
      <c r="AM129" s="156"/>
      <c r="AN129" s="156"/>
      <c r="AO129" s="156"/>
      <c r="AP129" s="155"/>
      <c r="AQ129" s="155"/>
      <c r="AR129" s="155"/>
      <c r="AS129" s="155"/>
      <c r="AT129" s="155"/>
      <c r="AU129" s="155"/>
      <c r="AV129" s="155"/>
      <c r="AW129" s="155"/>
      <c r="AX129" s="155"/>
      <c r="AY129" s="155"/>
      <c r="AZ129" s="155"/>
      <c r="BA129" s="155"/>
      <c r="BB129" s="155"/>
      <c r="BC129" s="155"/>
      <c r="BD129" s="155"/>
      <c r="BE129" s="155"/>
      <c r="BF129" s="155"/>
      <c r="BG129" s="155"/>
      <c r="BH129" s="155"/>
      <c r="BI129" s="155"/>
      <c r="BJ129" s="155"/>
      <c r="BK129" s="155"/>
      <c r="BL129" s="155"/>
      <c r="BM129" s="155"/>
      <c r="BN129" s="155"/>
      <c r="BO129" s="155"/>
      <c r="BP129" s="155"/>
      <c r="BQ129" s="155"/>
      <c r="BR129" s="155"/>
      <c r="BS129" s="155"/>
      <c r="BT129" s="155"/>
      <c r="BU129" s="155"/>
      <c r="BV129" s="155"/>
      <c r="BW129" s="155"/>
      <c r="BX129" s="155"/>
      <c r="BY129" s="155"/>
      <c r="BZ129" s="155"/>
      <c r="CA129" s="155"/>
      <c r="CB129" s="155"/>
      <c r="CC129" s="155"/>
      <c r="CD129" s="155"/>
      <c r="CE129" s="155"/>
      <c r="CF129" s="155"/>
      <c r="CG129" s="155"/>
      <c r="CH129" s="155"/>
      <c r="CI129" s="155"/>
      <c r="CJ129" s="155"/>
      <c r="CK129" s="155"/>
      <c r="CL129" s="155"/>
      <c r="CM129" s="155"/>
      <c r="CN129" s="155"/>
      <c r="CO129" s="155"/>
      <c r="CP129" s="155"/>
      <c r="CQ129" s="155"/>
      <c r="CR129" s="155"/>
    </row>
    <row r="130" spans="1:96" x14ac:dyDescent="0.25">
      <c r="A130" s="174">
        <v>4</v>
      </c>
      <c r="B130" s="175" t="s">
        <v>332</v>
      </c>
      <c r="C130" s="176">
        <v>4</v>
      </c>
      <c r="D130" s="177" t="s">
        <v>138</v>
      </c>
      <c r="E130" s="178">
        <v>0</v>
      </c>
      <c r="F130" s="178">
        <v>0</v>
      </c>
      <c r="G130" s="178">
        <v>0</v>
      </c>
      <c r="H130" s="178">
        <v>0</v>
      </c>
      <c r="I130" s="178">
        <v>0</v>
      </c>
      <c r="J130" s="178">
        <v>0</v>
      </c>
      <c r="K130" s="178">
        <v>0</v>
      </c>
      <c r="L130" s="178"/>
      <c r="M130" s="178"/>
      <c r="N130" s="178"/>
      <c r="O130" s="178"/>
      <c r="P130" s="178"/>
      <c r="Q130" s="155"/>
      <c r="R130" t="s">
        <v>362</v>
      </c>
      <c r="S130" s="155"/>
      <c r="T130" s="155"/>
      <c r="U130" s="155"/>
      <c r="V130" s="155"/>
      <c r="W130" s="155"/>
      <c r="X130" s="155"/>
      <c r="Y130" s="155"/>
      <c r="Z130" s="155"/>
      <c r="AA130" s="155"/>
      <c r="AB130" s="155"/>
      <c r="AC130" s="155"/>
      <c r="AD130" s="155"/>
      <c r="AE130" s="155"/>
      <c r="AF130" s="155"/>
      <c r="AG130" s="155"/>
      <c r="AH130" s="155"/>
      <c r="AI130" s="155"/>
      <c r="AJ130" s="155"/>
      <c r="AK130" s="155"/>
      <c r="AL130" s="156"/>
      <c r="AM130" s="156"/>
      <c r="AN130" s="156"/>
      <c r="AO130" s="156"/>
      <c r="AP130" s="155"/>
      <c r="AQ130" s="155"/>
      <c r="AR130" s="155"/>
      <c r="AS130" s="155"/>
      <c r="AT130" s="155"/>
      <c r="AU130" s="155"/>
      <c r="AV130" s="155"/>
      <c r="AW130" s="155"/>
      <c r="AX130" s="155"/>
      <c r="AY130" s="155"/>
      <c r="AZ130" s="155"/>
      <c r="BA130" s="155"/>
      <c r="BB130" s="155"/>
      <c r="BC130" s="155"/>
      <c r="BD130" s="155"/>
      <c r="BE130" s="155"/>
      <c r="BF130" s="155"/>
      <c r="BG130" s="155"/>
      <c r="BH130" s="155"/>
      <c r="BI130" s="155"/>
      <c r="BJ130" s="155"/>
      <c r="BK130" s="155"/>
      <c r="BL130" s="155"/>
      <c r="BM130" s="155"/>
      <c r="BN130" s="155"/>
      <c r="BO130" s="155"/>
      <c r="BP130" s="155"/>
      <c r="BQ130" s="155"/>
      <c r="BR130" s="155"/>
      <c r="BS130" s="155"/>
      <c r="BT130" s="155"/>
      <c r="BU130" s="155"/>
      <c r="BV130" s="155"/>
      <c r="BW130" s="155"/>
      <c r="BX130" s="155"/>
      <c r="BY130" s="155"/>
      <c r="BZ130" s="155"/>
      <c r="CA130" s="155"/>
      <c r="CB130" s="155"/>
      <c r="CC130" s="155"/>
      <c r="CD130" s="155"/>
      <c r="CE130" s="155"/>
      <c r="CF130" s="155"/>
      <c r="CG130" s="155"/>
      <c r="CH130" s="155"/>
      <c r="CI130" s="155"/>
      <c r="CJ130" s="155"/>
      <c r="CK130" s="155"/>
      <c r="CL130" s="155"/>
      <c r="CM130" s="155"/>
      <c r="CN130" s="155"/>
      <c r="CO130" s="155"/>
      <c r="CP130" s="155"/>
      <c r="CQ130" s="155"/>
      <c r="CR130" s="155"/>
    </row>
    <row r="131" spans="1:96" x14ac:dyDescent="0.25">
      <c r="A131" s="179">
        <v>5</v>
      </c>
      <c r="B131" s="180" t="s">
        <v>343</v>
      </c>
      <c r="C131" s="181">
        <v>5</v>
      </c>
      <c r="D131" s="182" t="s">
        <v>99</v>
      </c>
      <c r="E131" s="183">
        <v>0</v>
      </c>
      <c r="F131" s="183">
        <v>0</v>
      </c>
      <c r="G131" s="183">
        <v>0</v>
      </c>
      <c r="H131" s="183">
        <v>0</v>
      </c>
      <c r="I131" s="183">
        <v>0</v>
      </c>
      <c r="J131" s="183">
        <v>0</v>
      </c>
      <c r="K131" s="183">
        <v>0</v>
      </c>
      <c r="L131" s="183"/>
      <c r="M131" s="183"/>
      <c r="N131" s="183"/>
      <c r="O131" s="183"/>
      <c r="P131" s="183"/>
      <c r="Q131" s="155"/>
      <c r="R131" t="s">
        <v>363</v>
      </c>
      <c r="S131" s="155"/>
      <c r="T131" s="155"/>
      <c r="U131" s="155"/>
      <c r="V131" s="155"/>
      <c r="W131" s="155"/>
      <c r="X131" s="155"/>
      <c r="Y131" s="155"/>
      <c r="Z131" s="155"/>
      <c r="AA131" s="155"/>
      <c r="AB131" s="155"/>
      <c r="AC131" s="155"/>
      <c r="AD131" s="155"/>
      <c r="AE131" s="155"/>
      <c r="AF131" s="155"/>
      <c r="AG131" s="155"/>
      <c r="AH131" s="155"/>
      <c r="AI131" s="155"/>
      <c r="AJ131" s="155"/>
      <c r="AK131" s="155"/>
      <c r="AL131" s="156"/>
      <c r="AM131" s="156"/>
      <c r="AN131" s="156"/>
      <c r="AO131" s="156"/>
      <c r="AP131" s="155"/>
      <c r="AQ131" s="155"/>
      <c r="AR131" s="155"/>
      <c r="AS131" s="155"/>
      <c r="AT131" s="155"/>
      <c r="AU131" s="155"/>
      <c r="AV131" s="155"/>
      <c r="AW131" s="155"/>
      <c r="AX131" s="155"/>
      <c r="AY131" s="155"/>
      <c r="AZ131" s="155"/>
      <c r="BA131" s="155"/>
      <c r="BB131" s="155"/>
      <c r="BC131" s="155"/>
      <c r="BD131" s="155"/>
      <c r="BE131" s="155"/>
      <c r="BF131" s="155"/>
      <c r="BG131" s="155"/>
      <c r="BH131" s="155"/>
      <c r="BI131" s="155"/>
      <c r="BJ131" s="155"/>
      <c r="BK131" s="155"/>
      <c r="BL131" s="155"/>
      <c r="BM131" s="155"/>
      <c r="BN131" s="155"/>
      <c r="BO131" s="155"/>
      <c r="BP131" s="155"/>
      <c r="BQ131" s="155"/>
      <c r="BR131" s="155"/>
      <c r="BS131" s="155"/>
      <c r="BT131" s="155"/>
      <c r="BU131" s="155"/>
      <c r="BV131" s="155"/>
      <c r="BW131" s="155"/>
      <c r="BX131" s="155"/>
      <c r="BY131" s="155"/>
      <c r="BZ131" s="155"/>
      <c r="CA131" s="155"/>
      <c r="CB131" s="155"/>
      <c r="CC131" s="155"/>
      <c r="CD131" s="155"/>
      <c r="CE131" s="155"/>
      <c r="CF131" s="155"/>
      <c r="CG131" s="155"/>
      <c r="CH131" s="155"/>
      <c r="CI131" s="155"/>
      <c r="CJ131" s="155"/>
      <c r="CK131" s="155"/>
      <c r="CL131" s="155"/>
      <c r="CM131" s="155"/>
      <c r="CN131" s="155"/>
      <c r="CO131" s="155"/>
      <c r="CP131" s="155"/>
      <c r="CQ131" s="155"/>
      <c r="CR131" s="155"/>
    </row>
    <row r="132" spans="1:96" x14ac:dyDescent="0.25">
      <c r="A132" s="174">
        <v>6</v>
      </c>
      <c r="B132" s="184" t="s">
        <v>337</v>
      </c>
      <c r="C132" s="176">
        <v>6</v>
      </c>
      <c r="D132" s="177" t="s">
        <v>291</v>
      </c>
      <c r="E132" s="178">
        <v>25.5</v>
      </c>
      <c r="F132" s="178">
        <v>10</v>
      </c>
      <c r="G132" s="178">
        <v>0</v>
      </c>
      <c r="H132" s="178">
        <v>0</v>
      </c>
      <c r="I132" s="178">
        <v>0</v>
      </c>
      <c r="J132" s="178">
        <v>12.5</v>
      </c>
      <c r="K132" s="178">
        <v>15</v>
      </c>
      <c r="L132" s="178"/>
      <c r="M132" s="178"/>
      <c r="N132" s="178"/>
      <c r="O132" s="178"/>
      <c r="P132" s="178"/>
      <c r="Q132" s="155"/>
      <c r="R132" t="s">
        <v>364</v>
      </c>
      <c r="S132" s="155"/>
      <c r="T132" s="155"/>
      <c r="U132" s="155"/>
      <c r="V132" s="155"/>
      <c r="W132" s="155"/>
      <c r="X132" s="155"/>
      <c r="Y132" s="155"/>
      <c r="Z132" s="155"/>
      <c r="AA132" s="155"/>
      <c r="AB132" s="155"/>
      <c r="AC132" s="155"/>
      <c r="AD132" s="155"/>
      <c r="AE132" s="155"/>
      <c r="AF132" s="155"/>
      <c r="AG132" s="155"/>
      <c r="AH132" s="155"/>
      <c r="AI132" s="155"/>
      <c r="AJ132" s="155"/>
      <c r="AK132" s="155"/>
      <c r="AL132" s="156"/>
      <c r="AM132" s="156"/>
      <c r="AN132" s="156"/>
      <c r="AO132" s="156"/>
      <c r="AP132" s="155"/>
      <c r="AQ132" s="155"/>
      <c r="AR132" s="155"/>
      <c r="AS132" s="155"/>
      <c r="AT132" s="155"/>
      <c r="AU132" s="155"/>
      <c r="AV132" s="155"/>
      <c r="AW132" s="155"/>
      <c r="AX132" s="155"/>
      <c r="AY132" s="155"/>
      <c r="AZ132" s="155"/>
      <c r="BA132" s="155"/>
      <c r="BB132" s="155"/>
      <c r="BC132" s="155"/>
      <c r="BD132" s="155"/>
      <c r="BE132" s="155"/>
      <c r="BF132" s="155"/>
      <c r="BG132" s="155"/>
      <c r="BH132" s="155"/>
      <c r="BI132" s="155"/>
      <c r="BJ132" s="155"/>
      <c r="BK132" s="155"/>
      <c r="BL132" s="155"/>
      <c r="BM132" s="155"/>
      <c r="BN132" s="155"/>
      <c r="BO132" s="155"/>
      <c r="BP132" s="155"/>
      <c r="BQ132" s="155"/>
      <c r="BR132" s="155"/>
      <c r="BS132" s="155"/>
      <c r="BT132" s="155"/>
      <c r="BU132" s="155"/>
      <c r="BV132" s="155"/>
      <c r="BW132" s="155"/>
      <c r="BX132" s="155"/>
      <c r="BY132" s="155"/>
      <c r="BZ132" s="155"/>
      <c r="CA132" s="155"/>
      <c r="CB132" s="155"/>
      <c r="CC132" s="155"/>
      <c r="CD132" s="155"/>
      <c r="CE132" s="155"/>
      <c r="CF132" s="155"/>
      <c r="CG132" s="155"/>
      <c r="CH132" s="155"/>
      <c r="CI132" s="155"/>
      <c r="CJ132" s="155"/>
      <c r="CK132" s="155"/>
      <c r="CL132" s="155"/>
      <c r="CM132" s="155"/>
      <c r="CN132" s="155"/>
      <c r="CO132" s="155"/>
      <c r="CP132" s="155"/>
      <c r="CQ132" s="155"/>
      <c r="CR132" s="155"/>
    </row>
    <row r="133" spans="1:96" x14ac:dyDescent="0.25">
      <c r="A133" s="179">
        <v>7</v>
      </c>
      <c r="B133" s="185" t="s">
        <v>333</v>
      </c>
      <c r="C133" s="181">
        <v>7</v>
      </c>
      <c r="D133" s="182" t="s">
        <v>292</v>
      </c>
      <c r="E133" s="183">
        <v>0</v>
      </c>
      <c r="F133" s="183">
        <v>0</v>
      </c>
      <c r="G133" s="183">
        <v>0</v>
      </c>
      <c r="H133" s="183">
        <v>0</v>
      </c>
      <c r="I133" s="183">
        <v>0</v>
      </c>
      <c r="J133" s="183">
        <v>0</v>
      </c>
      <c r="K133" s="183">
        <v>0</v>
      </c>
      <c r="L133" s="183"/>
      <c r="M133" s="183"/>
      <c r="N133" s="183"/>
      <c r="O133" s="183"/>
      <c r="P133" s="183"/>
      <c r="Q133" s="155"/>
      <c r="R133" s="155"/>
      <c r="S133" s="155"/>
      <c r="T133" s="155"/>
      <c r="U133" s="155"/>
      <c r="V133" s="155"/>
      <c r="W133" s="155"/>
      <c r="X133" s="155"/>
      <c r="Y133" s="155"/>
      <c r="Z133" s="155"/>
      <c r="AA133" s="155"/>
      <c r="AB133" s="155"/>
      <c r="AC133" s="155"/>
      <c r="AD133" s="155"/>
      <c r="AE133" s="155"/>
      <c r="AF133" s="155"/>
      <c r="AG133" s="155"/>
      <c r="AH133" s="155"/>
      <c r="AI133" s="155"/>
      <c r="AJ133" s="155"/>
      <c r="AK133" s="155"/>
      <c r="AL133" s="156"/>
      <c r="AM133" s="156"/>
      <c r="AN133" s="156"/>
      <c r="AO133" s="156"/>
      <c r="AP133" s="155"/>
      <c r="AQ133" s="155"/>
      <c r="AR133" s="155"/>
      <c r="AS133" s="155"/>
      <c r="AT133" s="155"/>
      <c r="AU133" s="155"/>
      <c r="AV133" s="155"/>
      <c r="AW133" s="155"/>
      <c r="AX133" s="155"/>
      <c r="AY133" s="155"/>
      <c r="AZ133" s="155"/>
      <c r="BA133" s="155"/>
      <c r="BB133" s="155"/>
      <c r="BC133" s="155"/>
      <c r="BD133" s="155"/>
      <c r="BE133" s="155"/>
      <c r="BF133" s="155"/>
      <c r="BG133" s="155"/>
      <c r="BH133" s="155"/>
      <c r="BI133" s="155"/>
      <c r="BJ133" s="155"/>
      <c r="BK133" s="155"/>
      <c r="BL133" s="155"/>
      <c r="BM133" s="155"/>
      <c r="BN133" s="155"/>
      <c r="BO133" s="155"/>
      <c r="BP133" s="155"/>
      <c r="BQ133" s="155"/>
      <c r="BR133" s="155"/>
      <c r="BS133" s="155"/>
      <c r="BT133" s="155"/>
      <c r="BU133" s="155"/>
      <c r="BV133" s="155"/>
      <c r="BW133" s="155"/>
      <c r="BX133" s="155"/>
      <c r="BY133" s="155"/>
      <c r="BZ133" s="155"/>
      <c r="CA133" s="155"/>
      <c r="CB133" s="155"/>
      <c r="CC133" s="155"/>
      <c r="CD133" s="155"/>
      <c r="CE133" s="155"/>
      <c r="CF133" s="155"/>
      <c r="CG133" s="155"/>
      <c r="CH133" s="155"/>
      <c r="CI133" s="155"/>
      <c r="CJ133" s="155"/>
      <c r="CK133" s="155"/>
      <c r="CL133" s="155"/>
      <c r="CM133" s="155"/>
      <c r="CN133" s="155"/>
      <c r="CO133" s="155"/>
      <c r="CP133" s="155"/>
      <c r="CQ133" s="155"/>
      <c r="CR133" s="155"/>
    </row>
    <row r="134" spans="1:96" x14ac:dyDescent="0.25">
      <c r="A134" s="174">
        <v>8</v>
      </c>
      <c r="B134" s="175" t="s">
        <v>334</v>
      </c>
      <c r="C134" s="176">
        <v>8</v>
      </c>
      <c r="D134" s="177" t="s">
        <v>161</v>
      </c>
      <c r="E134" s="178">
        <v>1</v>
      </c>
      <c r="F134" s="178">
        <v>0</v>
      </c>
      <c r="G134" s="178">
        <v>0</v>
      </c>
      <c r="H134" s="178">
        <v>0</v>
      </c>
      <c r="I134" s="178">
        <v>0</v>
      </c>
      <c r="J134" s="178">
        <v>1</v>
      </c>
      <c r="K134" s="178">
        <v>3</v>
      </c>
      <c r="L134" s="178"/>
      <c r="M134" s="178"/>
      <c r="N134" s="178"/>
      <c r="O134" s="178"/>
      <c r="P134" s="178"/>
      <c r="Q134" s="155"/>
      <c r="R134" s="155"/>
      <c r="S134" s="155"/>
      <c r="T134" s="155"/>
      <c r="U134" s="155"/>
      <c r="V134" s="155"/>
      <c r="W134" s="155"/>
      <c r="X134" s="155"/>
      <c r="Y134" s="155"/>
      <c r="Z134" s="155"/>
      <c r="AA134" s="155"/>
      <c r="AB134" s="155"/>
      <c r="AC134" s="155"/>
      <c r="AD134" s="155"/>
      <c r="AE134" s="155"/>
      <c r="AF134" s="155"/>
      <c r="AG134" s="155"/>
      <c r="AH134" s="155"/>
      <c r="AI134" s="155"/>
      <c r="AJ134" s="155"/>
      <c r="AK134" s="155"/>
      <c r="AL134" s="156"/>
      <c r="AM134" s="156"/>
      <c r="AN134" s="156"/>
      <c r="AO134" s="156"/>
      <c r="AP134" s="155"/>
      <c r="AQ134" s="155"/>
      <c r="AR134" s="155"/>
      <c r="AS134" s="155"/>
      <c r="AT134" s="155"/>
      <c r="AU134" s="155"/>
      <c r="AV134" s="155"/>
      <c r="AW134" s="155"/>
      <c r="AX134" s="155"/>
      <c r="AY134" s="155"/>
      <c r="AZ134" s="155"/>
      <c r="BA134" s="155"/>
      <c r="BB134" s="155"/>
      <c r="BC134" s="155"/>
      <c r="BD134" s="155"/>
      <c r="BE134" s="155"/>
      <c r="BF134" s="155"/>
      <c r="BG134" s="155"/>
      <c r="BH134" s="155"/>
      <c r="BI134" s="155"/>
      <c r="BJ134" s="155"/>
      <c r="BK134" s="155"/>
      <c r="BL134" s="155"/>
      <c r="BM134" s="155"/>
      <c r="BN134" s="155"/>
      <c r="BO134" s="155"/>
      <c r="BP134" s="155"/>
      <c r="BQ134" s="155"/>
      <c r="BR134" s="155"/>
      <c r="BS134" s="155"/>
      <c r="BT134" s="155"/>
      <c r="BU134" s="155"/>
      <c r="BV134" s="155"/>
      <c r="BW134" s="155"/>
      <c r="BX134" s="155"/>
      <c r="BY134" s="155"/>
      <c r="BZ134" s="155"/>
      <c r="CA134" s="155"/>
      <c r="CB134" s="155"/>
      <c r="CC134" s="155"/>
      <c r="CD134" s="155"/>
      <c r="CE134" s="155"/>
      <c r="CF134" s="155"/>
      <c r="CG134" s="155"/>
      <c r="CH134" s="155"/>
      <c r="CI134" s="155"/>
      <c r="CJ134" s="155"/>
      <c r="CK134" s="155"/>
      <c r="CL134" s="155"/>
      <c r="CM134" s="155"/>
      <c r="CN134" s="155"/>
      <c r="CO134" s="155"/>
      <c r="CP134" s="155"/>
      <c r="CQ134" s="155"/>
      <c r="CR134" s="155"/>
    </row>
    <row r="135" spans="1:96" x14ac:dyDescent="0.25">
      <c r="A135" s="179">
        <v>9</v>
      </c>
      <c r="B135" s="180" t="s">
        <v>343</v>
      </c>
      <c r="C135" s="181">
        <v>9</v>
      </c>
      <c r="D135" s="182" t="s">
        <v>427</v>
      </c>
      <c r="E135" s="183">
        <v>0</v>
      </c>
      <c r="F135" s="183">
        <v>0</v>
      </c>
      <c r="G135" s="183">
        <v>0</v>
      </c>
      <c r="H135" s="183">
        <v>0</v>
      </c>
      <c r="I135" s="183">
        <v>0</v>
      </c>
      <c r="J135" s="183">
        <v>8.5</v>
      </c>
      <c r="K135" s="183">
        <v>21.5</v>
      </c>
      <c r="L135" s="183"/>
      <c r="M135" s="183"/>
      <c r="N135" s="183"/>
      <c r="O135" s="183"/>
      <c r="P135" s="183"/>
      <c r="Q135" s="155"/>
      <c r="R135" s="155"/>
      <c r="S135" s="155"/>
      <c r="T135" s="155"/>
      <c r="U135" s="155"/>
      <c r="V135" s="155"/>
      <c r="W135" s="155"/>
      <c r="X135" s="155"/>
      <c r="Y135" s="155"/>
      <c r="Z135" s="155"/>
      <c r="AA135" s="155"/>
      <c r="AB135" s="155"/>
      <c r="AC135" s="155"/>
      <c r="AD135" s="155"/>
      <c r="AE135" s="155"/>
      <c r="AF135" s="155"/>
      <c r="AG135" s="155"/>
      <c r="AH135" s="155"/>
      <c r="AI135" s="155"/>
      <c r="AJ135" s="155"/>
      <c r="AK135" s="155"/>
      <c r="AL135" s="156"/>
      <c r="AM135" s="156"/>
      <c r="AN135" s="156"/>
      <c r="AO135" s="156"/>
      <c r="AP135" s="155"/>
      <c r="AQ135" s="155"/>
      <c r="AR135" s="155"/>
      <c r="AS135" s="155"/>
      <c r="AT135" s="155"/>
      <c r="AU135" s="155"/>
      <c r="AV135" s="155"/>
      <c r="AW135" s="155"/>
      <c r="AX135" s="155"/>
      <c r="AY135" s="155"/>
      <c r="AZ135" s="155"/>
      <c r="BA135" s="155"/>
      <c r="BB135" s="155"/>
      <c r="BC135" s="155"/>
      <c r="BD135" s="155"/>
      <c r="BE135" s="155"/>
      <c r="BF135" s="155"/>
      <c r="BG135" s="155"/>
      <c r="BH135" s="155"/>
      <c r="BI135" s="155"/>
      <c r="BJ135" s="155"/>
      <c r="BK135" s="155"/>
      <c r="BL135" s="155"/>
      <c r="BM135" s="155"/>
      <c r="BN135" s="155"/>
      <c r="BO135" s="155"/>
      <c r="BP135" s="155"/>
      <c r="BQ135" s="155"/>
      <c r="BR135" s="155"/>
      <c r="BS135" s="155"/>
      <c r="BT135" s="155"/>
      <c r="BU135" s="155"/>
      <c r="BV135" s="155"/>
      <c r="BW135" s="155"/>
      <c r="BX135" s="155"/>
      <c r="BY135" s="155"/>
      <c r="BZ135" s="155"/>
      <c r="CA135" s="155"/>
      <c r="CB135" s="155"/>
      <c r="CC135" s="155"/>
      <c r="CD135" s="155"/>
      <c r="CE135" s="155"/>
      <c r="CF135" s="155"/>
      <c r="CG135" s="155"/>
      <c r="CH135" s="155"/>
      <c r="CI135" s="155"/>
      <c r="CJ135" s="155"/>
      <c r="CK135" s="155"/>
      <c r="CL135" s="155"/>
      <c r="CM135" s="155"/>
      <c r="CN135" s="155"/>
      <c r="CO135" s="155"/>
      <c r="CP135" s="155"/>
      <c r="CQ135" s="155"/>
      <c r="CR135" s="155"/>
    </row>
    <row r="136" spans="1:96" x14ac:dyDescent="0.25">
      <c r="A136" s="174">
        <v>10</v>
      </c>
      <c r="B136" s="175" t="s">
        <v>342</v>
      </c>
      <c r="C136" s="176">
        <v>10</v>
      </c>
      <c r="D136" s="186" t="s">
        <v>184</v>
      </c>
      <c r="E136" s="178">
        <v>0</v>
      </c>
      <c r="F136" s="178">
        <v>0</v>
      </c>
      <c r="G136" s="178">
        <v>0</v>
      </c>
      <c r="H136" s="178">
        <v>0</v>
      </c>
      <c r="I136" s="178">
        <v>0</v>
      </c>
      <c r="J136" s="178">
        <v>0</v>
      </c>
      <c r="K136" s="178">
        <v>2.5</v>
      </c>
      <c r="L136" s="178"/>
      <c r="M136" s="178"/>
      <c r="N136" s="178"/>
      <c r="O136" s="178"/>
      <c r="P136" s="178"/>
      <c r="Q136" s="155"/>
      <c r="R136" s="155"/>
      <c r="S136" s="155"/>
      <c r="T136" s="155"/>
      <c r="U136" s="155"/>
      <c r="V136" s="155"/>
      <c r="W136" s="155"/>
      <c r="X136" s="155"/>
      <c r="Y136" s="155"/>
      <c r="Z136" s="155"/>
      <c r="AA136" s="155"/>
      <c r="AB136" s="155"/>
      <c r="AC136" s="155"/>
      <c r="AD136" s="155"/>
      <c r="AE136" s="155"/>
      <c r="AF136" s="155"/>
      <c r="AG136" s="155"/>
      <c r="AH136" s="155"/>
      <c r="AI136" s="155"/>
      <c r="AJ136" s="155"/>
      <c r="AK136" s="155"/>
      <c r="AL136" s="156"/>
      <c r="AM136" s="156"/>
      <c r="AN136" s="156"/>
      <c r="AO136" s="156"/>
      <c r="AP136" s="155"/>
      <c r="AQ136" s="155"/>
      <c r="AR136" s="155"/>
      <c r="AS136" s="155"/>
      <c r="AT136" s="155"/>
      <c r="AU136" s="155"/>
      <c r="AV136" s="155"/>
      <c r="AW136" s="155"/>
      <c r="AX136" s="155"/>
      <c r="AY136" s="155"/>
      <c r="AZ136" s="155"/>
      <c r="BA136" s="155"/>
      <c r="BB136" s="155"/>
      <c r="BC136" s="155"/>
      <c r="BD136" s="155"/>
      <c r="BE136" s="155"/>
      <c r="BF136" s="155"/>
      <c r="BG136" s="155"/>
      <c r="BH136" s="155"/>
      <c r="BI136" s="155"/>
      <c r="BJ136" s="155"/>
      <c r="BK136" s="155"/>
      <c r="BL136" s="155"/>
      <c r="BM136" s="155"/>
      <c r="BN136" s="155"/>
      <c r="BO136" s="155"/>
      <c r="BP136" s="155"/>
      <c r="BQ136" s="155"/>
      <c r="BR136" s="155"/>
      <c r="BS136" s="155"/>
      <c r="BT136" s="155"/>
      <c r="BU136" s="155"/>
      <c r="BV136" s="155"/>
      <c r="BW136" s="155"/>
      <c r="BX136" s="155"/>
      <c r="BY136" s="155"/>
      <c r="BZ136" s="155"/>
      <c r="CA136" s="155"/>
      <c r="CB136" s="155"/>
      <c r="CC136" s="155"/>
      <c r="CD136" s="155"/>
      <c r="CE136" s="155"/>
      <c r="CF136" s="155"/>
      <c r="CG136" s="155"/>
      <c r="CH136" s="155"/>
      <c r="CI136" s="155"/>
      <c r="CJ136" s="155"/>
      <c r="CK136" s="155"/>
      <c r="CL136" s="155"/>
      <c r="CM136" s="155"/>
      <c r="CN136" s="155"/>
      <c r="CO136" s="155"/>
      <c r="CP136" s="155"/>
      <c r="CQ136" s="155"/>
      <c r="CR136" s="155"/>
    </row>
    <row r="137" spans="1:96" x14ac:dyDescent="0.25">
      <c r="A137" s="179">
        <v>11</v>
      </c>
      <c r="B137" s="180" t="s">
        <v>342</v>
      </c>
      <c r="C137" s="181">
        <v>11</v>
      </c>
      <c r="D137" s="182" t="s">
        <v>310</v>
      </c>
      <c r="E137" s="183">
        <v>43</v>
      </c>
      <c r="F137" s="183">
        <v>19.5</v>
      </c>
      <c r="G137" s="183">
        <v>11.5</v>
      </c>
      <c r="H137" s="183">
        <v>0</v>
      </c>
      <c r="I137" s="183">
        <v>0.5</v>
      </c>
      <c r="J137" s="183">
        <v>4.5</v>
      </c>
      <c r="K137" s="183">
        <v>14.5</v>
      </c>
      <c r="L137" s="183"/>
      <c r="M137" s="183"/>
      <c r="N137" s="183"/>
      <c r="O137" s="183"/>
      <c r="P137" s="183"/>
      <c r="Q137" s="155"/>
      <c r="R137" s="155"/>
      <c r="S137" s="155"/>
      <c r="T137" s="155"/>
      <c r="U137" s="155"/>
      <c r="V137" s="155"/>
      <c r="W137" s="155"/>
      <c r="X137" s="155"/>
      <c r="Y137" s="155"/>
      <c r="Z137" s="155"/>
      <c r="AA137" s="155"/>
      <c r="AB137" s="155"/>
      <c r="AC137" s="155"/>
      <c r="AD137" s="155"/>
      <c r="AE137" s="155"/>
      <c r="AF137" s="155"/>
      <c r="AG137" s="155"/>
      <c r="AH137" s="155"/>
      <c r="AI137" s="155"/>
      <c r="AJ137" s="155"/>
      <c r="AK137" s="155"/>
      <c r="AL137" s="156"/>
      <c r="AM137" s="156"/>
      <c r="AN137" s="156"/>
      <c r="AO137" s="156"/>
      <c r="AP137" s="155"/>
      <c r="AQ137" s="155"/>
      <c r="AR137" s="155"/>
      <c r="AS137" s="155"/>
      <c r="AT137" s="155"/>
      <c r="AU137" s="155"/>
      <c r="AV137" s="155"/>
      <c r="AW137" s="155"/>
      <c r="AX137" s="155"/>
      <c r="AY137" s="155"/>
      <c r="AZ137" s="155"/>
      <c r="BA137" s="155"/>
      <c r="BB137" s="155"/>
      <c r="BC137" s="155"/>
      <c r="BD137" s="155"/>
      <c r="BE137" s="155"/>
      <c r="BF137" s="155"/>
      <c r="BG137" s="155"/>
      <c r="BH137" s="155"/>
      <c r="BI137" s="155"/>
      <c r="BJ137" s="155"/>
      <c r="BK137" s="155"/>
      <c r="BL137" s="155"/>
      <c r="BM137" s="155"/>
      <c r="BN137" s="155"/>
      <c r="BO137" s="155"/>
      <c r="BP137" s="155"/>
      <c r="BQ137" s="155"/>
      <c r="BR137" s="155"/>
      <c r="BS137" s="155"/>
      <c r="BT137" s="155"/>
      <c r="BU137" s="155"/>
      <c r="BV137" s="155"/>
      <c r="BW137" s="155"/>
      <c r="BX137" s="155"/>
      <c r="BY137" s="155"/>
      <c r="BZ137" s="155"/>
      <c r="CA137" s="155"/>
      <c r="CB137" s="155"/>
      <c r="CC137" s="155"/>
      <c r="CD137" s="155"/>
      <c r="CE137" s="155"/>
      <c r="CF137" s="155"/>
      <c r="CG137" s="155"/>
      <c r="CH137" s="155"/>
      <c r="CI137" s="155"/>
      <c r="CJ137" s="155"/>
      <c r="CK137" s="155"/>
      <c r="CL137" s="155"/>
      <c r="CM137" s="155"/>
      <c r="CN137" s="155"/>
      <c r="CO137" s="155"/>
      <c r="CP137" s="155"/>
      <c r="CQ137" s="155"/>
      <c r="CR137" s="155"/>
    </row>
    <row r="138" spans="1:96" x14ac:dyDescent="0.25">
      <c r="A138" s="174">
        <v>12</v>
      </c>
      <c r="B138" s="175" t="s">
        <v>341</v>
      </c>
      <c r="C138" s="176">
        <v>12</v>
      </c>
      <c r="D138" s="177" t="s">
        <v>300</v>
      </c>
      <c r="E138" s="178">
        <v>56</v>
      </c>
      <c r="F138" s="178">
        <v>19</v>
      </c>
      <c r="G138" s="178">
        <v>22</v>
      </c>
      <c r="H138" s="178">
        <v>13.5</v>
      </c>
      <c r="I138" s="178">
        <v>16.5</v>
      </c>
      <c r="J138" s="178">
        <v>19</v>
      </c>
      <c r="K138" s="178">
        <v>23</v>
      </c>
      <c r="L138" s="178"/>
      <c r="M138" s="178"/>
      <c r="N138" s="178"/>
      <c r="O138" s="178"/>
      <c r="P138" s="178"/>
      <c r="Q138" s="155"/>
      <c r="R138" s="155"/>
      <c r="S138" s="155"/>
      <c r="T138" s="155"/>
      <c r="U138" s="155"/>
      <c r="V138" s="155"/>
      <c r="W138" s="155"/>
      <c r="X138" s="155"/>
      <c r="Y138" s="155"/>
      <c r="Z138" s="155"/>
      <c r="AA138" s="155"/>
      <c r="AB138" s="155"/>
      <c r="AC138" s="155"/>
      <c r="AD138" s="155"/>
      <c r="AE138" s="155"/>
      <c r="AF138" s="155"/>
      <c r="AG138" s="155"/>
      <c r="AH138" s="155"/>
      <c r="AI138" s="155"/>
      <c r="AJ138" s="155"/>
      <c r="AK138" s="155"/>
      <c r="AL138" s="156"/>
      <c r="AM138" s="156"/>
      <c r="AN138" s="156"/>
      <c r="AO138" s="156"/>
      <c r="AP138" s="155"/>
      <c r="AQ138" s="155"/>
      <c r="AR138" s="155"/>
      <c r="AS138" s="155"/>
      <c r="AT138" s="155"/>
      <c r="AU138" s="155"/>
      <c r="AV138" s="155"/>
      <c r="AW138" s="155"/>
      <c r="AX138" s="155"/>
      <c r="AY138" s="155"/>
      <c r="AZ138" s="155"/>
      <c r="BA138" s="155"/>
      <c r="BB138" s="155"/>
      <c r="BC138" s="155"/>
      <c r="BD138" s="155"/>
      <c r="BE138" s="155"/>
      <c r="BF138" s="155"/>
      <c r="BG138" s="155"/>
      <c r="BH138" s="155"/>
      <c r="BI138" s="155"/>
      <c r="BJ138" s="155"/>
      <c r="BK138" s="155"/>
      <c r="BL138" s="155"/>
      <c r="BM138" s="155"/>
      <c r="BN138" s="155"/>
      <c r="BO138" s="155"/>
      <c r="BP138" s="155"/>
      <c r="BQ138" s="155"/>
      <c r="BR138" s="155"/>
      <c r="BS138" s="155"/>
      <c r="BT138" s="155"/>
      <c r="BU138" s="155"/>
      <c r="BV138" s="155"/>
      <c r="BW138" s="155"/>
      <c r="BX138" s="155"/>
      <c r="BY138" s="155"/>
      <c r="BZ138" s="155"/>
      <c r="CA138" s="155"/>
      <c r="CB138" s="155"/>
      <c r="CC138" s="155"/>
      <c r="CD138" s="155"/>
      <c r="CE138" s="155"/>
      <c r="CF138" s="155"/>
      <c r="CG138" s="155"/>
      <c r="CH138" s="155"/>
      <c r="CI138" s="155"/>
      <c r="CJ138" s="155"/>
      <c r="CK138" s="155"/>
      <c r="CL138" s="155"/>
      <c r="CM138" s="155"/>
      <c r="CN138" s="155"/>
      <c r="CO138" s="155"/>
      <c r="CP138" s="155"/>
      <c r="CQ138" s="155"/>
      <c r="CR138" s="155"/>
    </row>
    <row r="139" spans="1:96" x14ac:dyDescent="0.25">
      <c r="A139" s="179">
        <v>13</v>
      </c>
      <c r="B139" s="180" t="s">
        <v>335</v>
      </c>
      <c r="C139" s="181">
        <v>13</v>
      </c>
      <c r="D139" s="182" t="s">
        <v>301</v>
      </c>
      <c r="E139" s="183">
        <v>0</v>
      </c>
      <c r="F139" s="183">
        <v>0</v>
      </c>
      <c r="G139" s="183">
        <v>0</v>
      </c>
      <c r="H139" s="183">
        <v>0</v>
      </c>
      <c r="I139" s="183">
        <v>0</v>
      </c>
      <c r="J139" s="183">
        <v>10.5</v>
      </c>
      <c r="K139" s="183">
        <v>1</v>
      </c>
      <c r="L139" s="183"/>
      <c r="M139" s="183"/>
      <c r="N139" s="183"/>
      <c r="O139" s="183"/>
      <c r="P139" s="183"/>
      <c r="Q139" s="155"/>
      <c r="R139" s="155"/>
      <c r="S139" s="155"/>
      <c r="T139" s="155"/>
      <c r="U139" s="155"/>
      <c r="V139" s="155"/>
      <c r="W139" s="155"/>
      <c r="X139" s="155"/>
      <c r="Y139" s="155"/>
      <c r="Z139" s="155"/>
      <c r="AA139" s="155"/>
      <c r="AB139" s="155"/>
      <c r="AC139" s="155"/>
      <c r="AD139" s="155"/>
      <c r="AE139" s="155"/>
      <c r="AF139" s="155"/>
      <c r="AG139" s="155"/>
      <c r="AH139" s="155"/>
      <c r="AI139" s="155"/>
      <c r="AJ139" s="155"/>
      <c r="AK139" s="155"/>
      <c r="AL139" s="156"/>
      <c r="AM139" s="156"/>
      <c r="AN139" s="156"/>
      <c r="AO139" s="156"/>
      <c r="AP139" s="155"/>
      <c r="AQ139" s="155"/>
      <c r="AR139" s="155"/>
      <c r="AS139" s="155"/>
      <c r="AT139" s="155"/>
      <c r="AU139" s="155"/>
      <c r="AV139" s="155"/>
      <c r="AW139" s="155"/>
      <c r="AX139" s="155"/>
      <c r="AY139" s="155"/>
      <c r="AZ139" s="155"/>
      <c r="BA139" s="155"/>
      <c r="BB139" s="155"/>
      <c r="BC139" s="155"/>
      <c r="BD139" s="155"/>
      <c r="BE139" s="155"/>
      <c r="BF139" s="155"/>
      <c r="BG139" s="155"/>
      <c r="BH139" s="155"/>
      <c r="BI139" s="155"/>
      <c r="BJ139" s="155"/>
      <c r="BK139" s="155"/>
      <c r="BL139" s="155"/>
      <c r="BM139" s="155"/>
      <c r="BN139" s="155"/>
      <c r="BO139" s="155"/>
      <c r="BP139" s="155"/>
      <c r="BQ139" s="155"/>
      <c r="BR139" s="155"/>
      <c r="BS139" s="155"/>
      <c r="BT139" s="155"/>
      <c r="BU139" s="155"/>
      <c r="BV139" s="155"/>
      <c r="BW139" s="155"/>
      <c r="BX139" s="155"/>
      <c r="BY139" s="155"/>
      <c r="BZ139" s="155"/>
      <c r="CA139" s="155"/>
      <c r="CB139" s="155"/>
      <c r="CC139" s="155"/>
      <c r="CD139" s="155"/>
      <c r="CE139" s="155"/>
      <c r="CF139" s="155"/>
      <c r="CG139" s="155"/>
      <c r="CH139" s="155"/>
      <c r="CI139" s="155"/>
      <c r="CJ139" s="155"/>
      <c r="CK139" s="155"/>
      <c r="CL139" s="155"/>
      <c r="CM139" s="155"/>
      <c r="CN139" s="155"/>
      <c r="CO139" s="155"/>
      <c r="CP139" s="155"/>
      <c r="CQ139" s="155"/>
      <c r="CR139" s="155"/>
    </row>
    <row r="140" spans="1:96" x14ac:dyDescent="0.25">
      <c r="A140" s="174">
        <v>14</v>
      </c>
      <c r="B140" s="175" t="s">
        <v>341</v>
      </c>
      <c r="C140" s="176">
        <v>14</v>
      </c>
      <c r="D140" s="177" t="s">
        <v>311</v>
      </c>
      <c r="E140" s="178">
        <v>11.5</v>
      </c>
      <c r="F140" s="178">
        <v>2.5</v>
      </c>
      <c r="G140" s="178">
        <v>0</v>
      </c>
      <c r="H140" s="178">
        <v>0</v>
      </c>
      <c r="I140" s="178">
        <v>0</v>
      </c>
      <c r="J140" s="178">
        <v>0</v>
      </c>
      <c r="K140" s="178">
        <v>0</v>
      </c>
      <c r="L140" s="178"/>
      <c r="M140" s="178"/>
      <c r="N140" s="178"/>
      <c r="O140" s="178"/>
      <c r="P140" s="178"/>
      <c r="Q140" s="155"/>
      <c r="R140" s="155"/>
      <c r="S140" s="155"/>
      <c r="T140" s="155"/>
      <c r="U140" s="155"/>
      <c r="V140" s="155"/>
      <c r="W140" s="155"/>
      <c r="X140" s="155"/>
      <c r="Y140" s="155"/>
      <c r="Z140" s="155"/>
      <c r="AA140" s="155"/>
      <c r="AB140" s="155"/>
      <c r="AC140" s="155"/>
      <c r="AD140" s="155"/>
      <c r="AE140" s="155"/>
      <c r="AF140" s="155"/>
      <c r="AG140" s="155"/>
      <c r="AH140" s="155"/>
      <c r="AI140" s="155"/>
      <c r="AJ140" s="155"/>
      <c r="AK140" s="155"/>
      <c r="AL140" s="156"/>
      <c r="AM140" s="156"/>
      <c r="AN140" s="156"/>
      <c r="AO140" s="156"/>
      <c r="AP140" s="155"/>
      <c r="AQ140" s="155"/>
      <c r="AR140" s="155"/>
      <c r="AS140" s="155"/>
      <c r="AT140" s="155"/>
      <c r="AU140" s="155"/>
      <c r="AV140" s="155"/>
      <c r="AW140" s="155"/>
      <c r="AX140" s="155"/>
      <c r="AY140" s="155"/>
      <c r="AZ140" s="155"/>
      <c r="BA140" s="155"/>
      <c r="BB140" s="155"/>
      <c r="BC140" s="155"/>
      <c r="BD140" s="155"/>
      <c r="BE140" s="155"/>
      <c r="BF140" s="155"/>
      <c r="BG140" s="155"/>
      <c r="BH140" s="155"/>
      <c r="BI140" s="155"/>
      <c r="BJ140" s="155"/>
      <c r="BK140" s="155"/>
      <c r="BL140" s="155"/>
      <c r="BM140" s="155"/>
      <c r="BN140" s="155"/>
      <c r="BO140" s="155"/>
      <c r="BP140" s="155"/>
      <c r="BQ140" s="155"/>
      <c r="BR140" s="155"/>
      <c r="BS140" s="155"/>
      <c r="BT140" s="155"/>
      <c r="BU140" s="155"/>
      <c r="BV140" s="155"/>
      <c r="BW140" s="155"/>
      <c r="BX140" s="155"/>
      <c r="BY140" s="155"/>
      <c r="BZ140" s="155"/>
      <c r="CA140" s="155"/>
      <c r="CB140" s="155"/>
      <c r="CC140" s="155"/>
      <c r="CD140" s="155"/>
      <c r="CE140" s="155"/>
      <c r="CF140" s="155"/>
      <c r="CG140" s="155"/>
      <c r="CH140" s="155"/>
      <c r="CI140" s="155"/>
      <c r="CJ140" s="155"/>
      <c r="CK140" s="155"/>
      <c r="CL140" s="155"/>
      <c r="CM140" s="155"/>
      <c r="CN140" s="155"/>
      <c r="CO140" s="155"/>
      <c r="CP140" s="155"/>
      <c r="CQ140" s="155"/>
      <c r="CR140" s="155"/>
    </row>
    <row r="141" spans="1:96" x14ac:dyDescent="0.25">
      <c r="A141" s="179">
        <v>15</v>
      </c>
      <c r="B141" s="180" t="s">
        <v>343</v>
      </c>
      <c r="C141" s="181">
        <v>15</v>
      </c>
      <c r="D141" s="182" t="s">
        <v>141</v>
      </c>
      <c r="E141" s="183">
        <v>0</v>
      </c>
      <c r="F141" s="183">
        <v>0</v>
      </c>
      <c r="G141" s="183">
        <v>0</v>
      </c>
      <c r="H141" s="183">
        <v>0</v>
      </c>
      <c r="I141" s="183">
        <v>0</v>
      </c>
      <c r="J141" s="183">
        <v>0</v>
      </c>
      <c r="K141" s="183">
        <v>0</v>
      </c>
      <c r="L141" s="183"/>
      <c r="M141" s="183"/>
      <c r="N141" s="183"/>
      <c r="O141" s="183"/>
      <c r="P141" s="183"/>
      <c r="Q141" s="155"/>
      <c r="R141" s="155"/>
      <c r="S141" s="155"/>
      <c r="T141" s="155"/>
      <c r="U141" s="155"/>
      <c r="V141" s="155"/>
      <c r="W141" s="155"/>
      <c r="X141" s="155"/>
      <c r="Y141" s="155"/>
      <c r="Z141" s="155"/>
      <c r="AA141" s="155"/>
      <c r="AB141" s="155"/>
      <c r="AC141" s="155"/>
      <c r="AD141" s="155"/>
      <c r="AE141" s="155"/>
      <c r="AF141" s="155"/>
      <c r="AG141" s="155"/>
      <c r="AH141" s="155"/>
      <c r="AI141" s="155"/>
      <c r="AJ141" s="155"/>
      <c r="AK141" s="155"/>
      <c r="AL141" s="156"/>
      <c r="AM141" s="156"/>
      <c r="AN141" s="156"/>
      <c r="AO141" s="156"/>
      <c r="AP141" s="155"/>
      <c r="AQ141" s="155"/>
      <c r="AR141" s="155"/>
      <c r="AS141" s="155"/>
      <c r="AT141" s="155"/>
      <c r="AU141" s="155"/>
      <c r="AV141" s="155"/>
      <c r="AW141" s="155"/>
      <c r="AX141" s="155"/>
      <c r="AY141" s="155"/>
      <c r="AZ141" s="155"/>
      <c r="BA141" s="155"/>
      <c r="BB141" s="155"/>
      <c r="BC141" s="155"/>
      <c r="BD141" s="155"/>
      <c r="BE141" s="155"/>
      <c r="BF141" s="155"/>
      <c r="BG141" s="155"/>
      <c r="BH141" s="155"/>
      <c r="BI141" s="155"/>
      <c r="BJ141" s="155"/>
      <c r="BK141" s="155"/>
      <c r="BL141" s="155"/>
      <c r="BM141" s="155"/>
      <c r="BN141" s="155"/>
      <c r="BO141" s="155"/>
      <c r="BP141" s="155"/>
      <c r="BQ141" s="155"/>
      <c r="BR141" s="155"/>
      <c r="BS141" s="155"/>
      <c r="BT141" s="155"/>
      <c r="BU141" s="155"/>
      <c r="BV141" s="155"/>
      <c r="BW141" s="155"/>
      <c r="BX141" s="155"/>
      <c r="BY141" s="155"/>
      <c r="BZ141" s="155"/>
      <c r="CA141" s="155"/>
      <c r="CB141" s="155"/>
      <c r="CC141" s="155"/>
      <c r="CD141" s="155"/>
      <c r="CE141" s="155"/>
      <c r="CF141" s="155"/>
      <c r="CG141" s="155"/>
      <c r="CH141" s="155"/>
      <c r="CI141" s="155"/>
      <c r="CJ141" s="155"/>
      <c r="CK141" s="155"/>
      <c r="CL141" s="155"/>
      <c r="CM141" s="155"/>
      <c r="CN141" s="155"/>
      <c r="CO141" s="155"/>
      <c r="CP141" s="155"/>
      <c r="CQ141" s="155"/>
      <c r="CR141" s="155"/>
    </row>
    <row r="142" spans="1:96" x14ac:dyDescent="0.25">
      <c r="A142" s="174">
        <v>16</v>
      </c>
      <c r="B142" s="175" t="s">
        <v>343</v>
      </c>
      <c r="C142" s="176">
        <v>16</v>
      </c>
      <c r="D142" s="177" t="s">
        <v>142</v>
      </c>
      <c r="E142" s="178">
        <v>0</v>
      </c>
      <c r="F142" s="178">
        <v>0</v>
      </c>
      <c r="G142" s="178">
        <v>0</v>
      </c>
      <c r="H142" s="178">
        <v>0</v>
      </c>
      <c r="I142" s="178">
        <v>0</v>
      </c>
      <c r="J142" s="178">
        <v>0</v>
      </c>
      <c r="K142" s="178">
        <v>0</v>
      </c>
      <c r="L142" s="178"/>
      <c r="M142" s="178"/>
      <c r="N142" s="178"/>
      <c r="O142" s="178"/>
      <c r="P142" s="178"/>
      <c r="Q142" s="155"/>
      <c r="R142" s="155"/>
      <c r="S142" s="155"/>
      <c r="T142" s="155"/>
      <c r="U142" s="155"/>
      <c r="V142" s="155"/>
      <c r="W142" s="155"/>
      <c r="X142" s="155"/>
      <c r="Y142" s="155"/>
      <c r="Z142" s="155"/>
      <c r="AA142" s="155"/>
      <c r="AB142" s="155"/>
      <c r="AC142" s="155"/>
      <c r="AD142" s="155"/>
      <c r="AE142" s="155"/>
      <c r="AF142" s="155"/>
      <c r="AG142" s="155"/>
      <c r="AH142" s="155"/>
      <c r="AI142" s="155"/>
      <c r="AJ142" s="155"/>
      <c r="AK142" s="155"/>
      <c r="AL142" s="156"/>
      <c r="AM142" s="156"/>
      <c r="AN142" s="156"/>
      <c r="AO142" s="156"/>
      <c r="AP142" s="155"/>
      <c r="AQ142" s="155"/>
      <c r="AR142" s="155"/>
      <c r="AS142" s="155"/>
      <c r="AT142" s="155"/>
      <c r="AU142" s="155"/>
      <c r="AV142" s="155"/>
      <c r="AW142" s="155"/>
      <c r="AX142" s="155"/>
      <c r="AY142" s="155"/>
      <c r="AZ142" s="155"/>
      <c r="BA142" s="155"/>
      <c r="BB142" s="155"/>
      <c r="BC142" s="155"/>
      <c r="BD142" s="155"/>
      <c r="BE142" s="155"/>
      <c r="BF142" s="155"/>
      <c r="BG142" s="155"/>
      <c r="BH142" s="155"/>
      <c r="BI142" s="155"/>
      <c r="BJ142" s="155"/>
      <c r="BK142" s="155"/>
      <c r="BL142" s="155"/>
      <c r="BM142" s="155"/>
      <c r="BN142" s="155"/>
      <c r="BO142" s="155"/>
      <c r="BP142" s="155"/>
      <c r="BQ142" s="155"/>
      <c r="BR142" s="155"/>
      <c r="BS142" s="155"/>
      <c r="BT142" s="155"/>
      <c r="BU142" s="155"/>
      <c r="BV142" s="155"/>
      <c r="BW142" s="155"/>
      <c r="BX142" s="155"/>
      <c r="BY142" s="155"/>
      <c r="BZ142" s="155"/>
      <c r="CA142" s="155"/>
      <c r="CB142" s="155"/>
      <c r="CC142" s="155"/>
      <c r="CD142" s="155"/>
      <c r="CE142" s="155"/>
      <c r="CF142" s="155"/>
      <c r="CG142" s="155"/>
      <c r="CH142" s="155"/>
      <c r="CI142" s="155"/>
      <c r="CJ142" s="155"/>
      <c r="CK142" s="155"/>
      <c r="CL142" s="155"/>
      <c r="CM142" s="155"/>
      <c r="CN142" s="155"/>
      <c r="CO142" s="155"/>
      <c r="CP142" s="155"/>
      <c r="CQ142" s="155"/>
      <c r="CR142" s="155"/>
    </row>
    <row r="143" spans="1:96" x14ac:dyDescent="0.25">
      <c r="A143" s="179">
        <v>17</v>
      </c>
      <c r="B143" s="180" t="s">
        <v>345</v>
      </c>
      <c r="C143" s="181">
        <v>17</v>
      </c>
      <c r="D143" s="182" t="s">
        <v>285</v>
      </c>
      <c r="E143" s="183">
        <v>41</v>
      </c>
      <c r="F143" s="183">
        <v>17</v>
      </c>
      <c r="G143" s="183">
        <v>14.5</v>
      </c>
      <c r="H143" s="183">
        <v>0</v>
      </c>
      <c r="I143" s="183">
        <v>0</v>
      </c>
      <c r="J143" s="183">
        <v>11.5</v>
      </c>
      <c r="K143" s="183">
        <v>16</v>
      </c>
      <c r="L143" s="183"/>
      <c r="M143" s="183"/>
      <c r="N143" s="183"/>
      <c r="O143" s="183"/>
      <c r="P143" s="183"/>
      <c r="Q143" s="155"/>
      <c r="R143" s="155"/>
      <c r="S143" s="155"/>
      <c r="T143" s="155"/>
      <c r="U143" s="155"/>
      <c r="V143" s="155"/>
      <c r="W143" s="155"/>
      <c r="X143" s="155"/>
      <c r="Y143" s="155"/>
      <c r="Z143" s="155"/>
      <c r="AA143" s="155"/>
      <c r="AB143" s="155"/>
      <c r="AC143" s="155"/>
      <c r="AD143" s="155"/>
      <c r="AE143" s="155"/>
      <c r="AF143" s="155"/>
      <c r="AG143" s="155"/>
      <c r="AH143" s="155"/>
      <c r="AI143" s="155"/>
      <c r="AJ143" s="155"/>
      <c r="AK143" s="155"/>
      <c r="AL143" s="156"/>
      <c r="AM143" s="156"/>
      <c r="AN143" s="156"/>
      <c r="AO143" s="156"/>
      <c r="AP143" s="155"/>
      <c r="AQ143" s="155"/>
      <c r="AR143" s="155"/>
      <c r="AS143" s="155"/>
      <c r="AT143" s="155"/>
      <c r="AU143" s="155"/>
      <c r="AV143" s="155"/>
      <c r="AW143" s="155"/>
      <c r="AX143" s="155"/>
      <c r="AY143" s="155"/>
      <c r="AZ143" s="155"/>
      <c r="BA143" s="155"/>
      <c r="BB143" s="155"/>
      <c r="BC143" s="155"/>
      <c r="BD143" s="155"/>
      <c r="BE143" s="155"/>
      <c r="BF143" s="155"/>
      <c r="BG143" s="155"/>
      <c r="BH143" s="155"/>
      <c r="BI143" s="155"/>
      <c r="BJ143" s="155"/>
      <c r="BK143" s="155"/>
      <c r="BL143" s="155"/>
      <c r="BM143" s="155"/>
      <c r="BN143" s="155"/>
      <c r="BO143" s="155"/>
      <c r="BP143" s="155"/>
      <c r="BQ143" s="155"/>
      <c r="BR143" s="155"/>
      <c r="BS143" s="155"/>
      <c r="BT143" s="155"/>
      <c r="BU143" s="155"/>
      <c r="BV143" s="155"/>
      <c r="BW143" s="155"/>
      <c r="BX143" s="155"/>
      <c r="BY143" s="155"/>
      <c r="BZ143" s="155"/>
      <c r="CA143" s="155"/>
      <c r="CB143" s="155"/>
      <c r="CC143" s="155"/>
      <c r="CD143" s="155"/>
      <c r="CE143" s="155"/>
      <c r="CF143" s="155"/>
      <c r="CG143" s="155"/>
      <c r="CH143" s="155"/>
      <c r="CI143" s="155"/>
      <c r="CJ143" s="155"/>
      <c r="CK143" s="155"/>
      <c r="CL143" s="155"/>
      <c r="CM143" s="155"/>
      <c r="CN143" s="155"/>
      <c r="CO143" s="155"/>
      <c r="CP143" s="155"/>
      <c r="CQ143" s="155"/>
      <c r="CR143" s="155"/>
    </row>
    <row r="144" spans="1:96" x14ac:dyDescent="0.25">
      <c r="A144" s="174">
        <v>18</v>
      </c>
      <c r="B144" s="175" t="s">
        <v>338</v>
      </c>
      <c r="C144" s="176">
        <v>18</v>
      </c>
      <c r="D144" s="177" t="s">
        <v>143</v>
      </c>
      <c r="E144" s="178">
        <v>0</v>
      </c>
      <c r="F144" s="178">
        <v>0</v>
      </c>
      <c r="G144" s="178">
        <v>0</v>
      </c>
      <c r="H144" s="178">
        <v>0</v>
      </c>
      <c r="I144" s="178">
        <v>0</v>
      </c>
      <c r="J144" s="178">
        <v>0</v>
      </c>
      <c r="K144" s="178">
        <v>0</v>
      </c>
      <c r="L144" s="178"/>
      <c r="M144" s="178"/>
      <c r="N144" s="178"/>
      <c r="O144" s="178"/>
      <c r="P144" s="178"/>
      <c r="Q144" s="155"/>
      <c r="R144" s="155"/>
      <c r="S144" s="155"/>
      <c r="T144" s="155"/>
      <c r="U144" s="155"/>
      <c r="V144" s="155"/>
      <c r="W144" s="155"/>
      <c r="X144" s="155"/>
      <c r="Y144" s="155"/>
      <c r="Z144" s="155"/>
      <c r="AA144" s="155"/>
      <c r="AB144" s="155"/>
      <c r="AC144" s="155"/>
      <c r="AD144" s="155"/>
      <c r="AE144" s="155"/>
      <c r="AF144" s="155"/>
      <c r="AG144" s="155"/>
      <c r="AH144" s="155"/>
      <c r="AI144" s="155"/>
      <c r="AJ144" s="155"/>
      <c r="AK144" s="155"/>
      <c r="AL144" s="156"/>
      <c r="AM144" s="156"/>
      <c r="AN144" s="156"/>
      <c r="AO144" s="156"/>
      <c r="AP144" s="155"/>
      <c r="AQ144" s="155"/>
      <c r="AR144" s="155"/>
      <c r="AS144" s="155"/>
      <c r="AT144" s="155"/>
      <c r="AU144" s="155"/>
      <c r="AV144" s="155"/>
      <c r="AW144" s="155"/>
      <c r="AX144" s="155"/>
      <c r="AY144" s="155"/>
      <c r="AZ144" s="155"/>
      <c r="BA144" s="155"/>
      <c r="BB144" s="155"/>
      <c r="BC144" s="155"/>
      <c r="BD144" s="155"/>
      <c r="BE144" s="155"/>
      <c r="BF144" s="155"/>
      <c r="BG144" s="155"/>
      <c r="BH144" s="155"/>
      <c r="BI144" s="155"/>
      <c r="BJ144" s="155"/>
      <c r="BK144" s="155"/>
      <c r="BL144" s="155"/>
      <c r="BM144" s="155"/>
      <c r="BN144" s="155"/>
      <c r="BO144" s="155"/>
      <c r="BP144" s="155"/>
      <c r="BQ144" s="155"/>
      <c r="BR144" s="155"/>
      <c r="BS144" s="155"/>
      <c r="BT144" s="155"/>
      <c r="BU144" s="155"/>
      <c r="BV144" s="155"/>
      <c r="BW144" s="155"/>
      <c r="BX144" s="155"/>
      <c r="BY144" s="155"/>
      <c r="BZ144" s="155"/>
      <c r="CA144" s="155"/>
      <c r="CB144" s="155"/>
      <c r="CC144" s="155"/>
      <c r="CD144" s="155"/>
      <c r="CE144" s="155"/>
      <c r="CF144" s="155"/>
      <c r="CG144" s="155"/>
      <c r="CH144" s="155"/>
      <c r="CI144" s="155"/>
      <c r="CJ144" s="155"/>
      <c r="CK144" s="155"/>
      <c r="CL144" s="155"/>
      <c r="CM144" s="155"/>
      <c r="CN144" s="155"/>
      <c r="CO144" s="155"/>
      <c r="CP144" s="155"/>
      <c r="CQ144" s="155"/>
      <c r="CR144" s="155"/>
    </row>
    <row r="145" spans="1:96" x14ac:dyDescent="0.25">
      <c r="A145" s="179">
        <v>19</v>
      </c>
      <c r="B145" s="180" t="s">
        <v>337</v>
      </c>
      <c r="C145" s="181">
        <v>19</v>
      </c>
      <c r="D145" s="182" t="s">
        <v>309</v>
      </c>
      <c r="E145" s="183">
        <v>46.5</v>
      </c>
      <c r="F145" s="183">
        <v>18.5</v>
      </c>
      <c r="G145" s="183">
        <v>14.5</v>
      </c>
      <c r="H145" s="183">
        <v>0</v>
      </c>
      <c r="I145" s="183">
        <v>0</v>
      </c>
      <c r="J145" s="183">
        <v>8</v>
      </c>
      <c r="K145" s="183">
        <v>15.5</v>
      </c>
      <c r="L145" s="183"/>
      <c r="M145" s="183"/>
      <c r="N145" s="183"/>
      <c r="O145" s="183"/>
      <c r="P145" s="183"/>
      <c r="Q145" s="155"/>
      <c r="R145" s="155"/>
      <c r="S145" s="155"/>
      <c r="T145" s="155"/>
      <c r="U145" s="155"/>
      <c r="V145" s="155"/>
      <c r="W145" s="155"/>
      <c r="X145" s="155"/>
      <c r="Y145" s="155"/>
      <c r="Z145" s="155"/>
      <c r="AA145" s="155"/>
      <c r="AB145" s="155"/>
      <c r="AC145" s="155"/>
      <c r="AD145" s="155"/>
      <c r="AE145" s="155"/>
      <c r="AF145" s="155"/>
      <c r="AG145" s="155"/>
      <c r="AH145" s="155"/>
      <c r="AI145" s="155"/>
      <c r="AJ145" s="155"/>
      <c r="AK145" s="155"/>
      <c r="AL145" s="156"/>
      <c r="AM145" s="156"/>
      <c r="AN145" s="156"/>
      <c r="AO145" s="156"/>
      <c r="AP145" s="155"/>
      <c r="AQ145" s="155"/>
      <c r="AR145" s="155"/>
      <c r="AS145" s="155"/>
      <c r="AT145" s="155"/>
      <c r="AU145" s="155"/>
      <c r="AV145" s="155"/>
      <c r="AW145" s="155"/>
      <c r="AX145" s="155"/>
      <c r="AY145" s="155"/>
      <c r="AZ145" s="155"/>
      <c r="BA145" s="155"/>
      <c r="BB145" s="155"/>
      <c r="BC145" s="155"/>
      <c r="BD145" s="155"/>
      <c r="BE145" s="155"/>
      <c r="BF145" s="155"/>
      <c r="BG145" s="155"/>
      <c r="BH145" s="155"/>
      <c r="BI145" s="155"/>
      <c r="BJ145" s="155"/>
      <c r="BK145" s="155"/>
      <c r="BL145" s="155"/>
      <c r="BM145" s="155"/>
      <c r="BN145" s="155"/>
      <c r="BO145" s="155"/>
      <c r="BP145" s="155"/>
      <c r="BQ145" s="155"/>
      <c r="BR145" s="155"/>
      <c r="BS145" s="155"/>
      <c r="BT145" s="155"/>
      <c r="BU145" s="155"/>
      <c r="BV145" s="155"/>
      <c r="BW145" s="155"/>
      <c r="BX145" s="155"/>
      <c r="BY145" s="155"/>
      <c r="BZ145" s="155"/>
      <c r="CA145" s="155"/>
      <c r="CB145" s="155"/>
      <c r="CC145" s="155"/>
      <c r="CD145" s="155"/>
      <c r="CE145" s="155"/>
      <c r="CF145" s="155"/>
      <c r="CG145" s="155"/>
      <c r="CH145" s="155"/>
      <c r="CI145" s="155"/>
      <c r="CJ145" s="155"/>
      <c r="CK145" s="155"/>
      <c r="CL145" s="155"/>
      <c r="CM145" s="155"/>
      <c r="CN145" s="155"/>
      <c r="CO145" s="155"/>
      <c r="CP145" s="155"/>
      <c r="CQ145" s="155"/>
      <c r="CR145" s="155"/>
    </row>
    <row r="146" spans="1:96" x14ac:dyDescent="0.25">
      <c r="A146" s="174">
        <v>20</v>
      </c>
      <c r="B146" s="175" t="s">
        <v>339</v>
      </c>
      <c r="C146" s="176">
        <v>20</v>
      </c>
      <c r="D146" s="177" t="s">
        <v>189</v>
      </c>
      <c r="E146" s="178">
        <v>8.5</v>
      </c>
      <c r="F146" s="178">
        <v>4</v>
      </c>
      <c r="G146" s="178">
        <v>1.5</v>
      </c>
      <c r="H146" s="178">
        <v>0</v>
      </c>
      <c r="I146" s="178">
        <v>0</v>
      </c>
      <c r="J146" s="178">
        <v>2</v>
      </c>
      <c r="K146" s="178">
        <v>1.5</v>
      </c>
      <c r="L146" s="178"/>
      <c r="M146" s="178"/>
      <c r="N146" s="178"/>
      <c r="O146" s="178"/>
      <c r="P146" s="178"/>
      <c r="Q146" s="155"/>
      <c r="R146" s="155"/>
      <c r="S146" s="155"/>
      <c r="T146" s="155"/>
      <c r="U146" s="155"/>
      <c r="V146" s="155"/>
      <c r="W146" s="155"/>
      <c r="X146" s="155"/>
      <c r="Y146" s="155"/>
      <c r="Z146" s="155"/>
      <c r="AA146" s="155"/>
      <c r="AB146" s="155"/>
      <c r="AC146" s="155"/>
      <c r="AD146" s="155"/>
      <c r="AE146" s="155"/>
      <c r="AF146" s="155"/>
      <c r="AG146" s="155"/>
      <c r="AH146" s="155"/>
      <c r="AI146" s="155"/>
      <c r="AJ146" s="155"/>
      <c r="AK146" s="155"/>
      <c r="AL146" s="156"/>
      <c r="AM146" s="156"/>
      <c r="AN146" s="156"/>
      <c r="AO146" s="156"/>
      <c r="AP146" s="155"/>
      <c r="AQ146" s="155"/>
      <c r="AR146" s="155"/>
      <c r="AS146" s="155"/>
      <c r="AT146" s="155"/>
      <c r="AU146" s="155"/>
      <c r="AV146" s="155"/>
      <c r="AW146" s="155"/>
      <c r="AX146" s="155"/>
      <c r="AY146" s="155"/>
      <c r="AZ146" s="155"/>
      <c r="BA146" s="155"/>
      <c r="BB146" s="155"/>
      <c r="BC146" s="155"/>
      <c r="BD146" s="155"/>
      <c r="BE146" s="155"/>
      <c r="BF146" s="155"/>
      <c r="BG146" s="155"/>
      <c r="BH146" s="155"/>
      <c r="BI146" s="155"/>
      <c r="BJ146" s="155"/>
      <c r="BK146" s="155"/>
      <c r="BL146" s="155"/>
      <c r="BM146" s="155"/>
      <c r="BN146" s="155"/>
      <c r="BO146" s="155"/>
      <c r="BP146" s="155"/>
      <c r="BQ146" s="155"/>
      <c r="BR146" s="155"/>
      <c r="BS146" s="155"/>
      <c r="BT146" s="155"/>
      <c r="BU146" s="155"/>
      <c r="BV146" s="155"/>
      <c r="BW146" s="155"/>
      <c r="BX146" s="155"/>
      <c r="BY146" s="155"/>
      <c r="BZ146" s="155"/>
      <c r="CA146" s="155"/>
      <c r="CB146" s="155"/>
      <c r="CC146" s="155"/>
      <c r="CD146" s="155"/>
      <c r="CE146" s="155"/>
      <c r="CF146" s="155"/>
      <c r="CG146" s="155"/>
      <c r="CH146" s="155"/>
      <c r="CI146" s="155"/>
      <c r="CJ146" s="155"/>
      <c r="CK146" s="155"/>
      <c r="CL146" s="155"/>
      <c r="CM146" s="155"/>
      <c r="CN146" s="155"/>
      <c r="CO146" s="155"/>
      <c r="CP146" s="155"/>
      <c r="CQ146" s="155"/>
      <c r="CR146" s="155"/>
    </row>
    <row r="147" spans="1:96" x14ac:dyDescent="0.25">
      <c r="A147" s="179">
        <v>21</v>
      </c>
      <c r="B147" s="180" t="s">
        <v>336</v>
      </c>
      <c r="C147" s="181">
        <v>21</v>
      </c>
      <c r="D147" s="182" t="s">
        <v>102</v>
      </c>
      <c r="E147" s="183">
        <v>49</v>
      </c>
      <c r="F147" s="183">
        <v>19.5</v>
      </c>
      <c r="G147" s="183">
        <v>18.5</v>
      </c>
      <c r="H147" s="183">
        <v>2</v>
      </c>
      <c r="I147" s="183">
        <v>3.5</v>
      </c>
      <c r="J147" s="183">
        <v>12</v>
      </c>
      <c r="K147" s="183">
        <v>19</v>
      </c>
      <c r="L147" s="183"/>
      <c r="M147" s="183"/>
      <c r="N147" s="183"/>
      <c r="O147" s="183"/>
      <c r="P147" s="183"/>
      <c r="Q147" s="155"/>
      <c r="R147" s="155"/>
      <c r="S147" s="155"/>
      <c r="T147" s="155"/>
      <c r="U147" s="155"/>
      <c r="V147" s="155"/>
      <c r="W147" s="155"/>
      <c r="X147" s="155"/>
      <c r="Y147" s="155"/>
      <c r="Z147" s="155"/>
      <c r="AA147" s="155"/>
      <c r="AB147" s="155"/>
      <c r="AC147" s="155"/>
      <c r="AD147" s="155"/>
      <c r="AE147" s="155"/>
      <c r="AF147" s="155"/>
      <c r="AG147" s="155"/>
      <c r="AH147" s="155"/>
      <c r="AI147" s="155"/>
      <c r="AJ147" s="155"/>
      <c r="AK147" s="155"/>
      <c r="AL147" s="156"/>
      <c r="AM147" s="156"/>
      <c r="AN147" s="156"/>
      <c r="AO147" s="156"/>
      <c r="AP147" s="155"/>
      <c r="AQ147" s="155"/>
      <c r="AR147" s="155"/>
      <c r="AS147" s="155"/>
      <c r="AT147" s="155"/>
      <c r="AU147" s="155"/>
      <c r="AV147" s="155"/>
      <c r="AW147" s="155"/>
      <c r="AX147" s="155"/>
      <c r="AY147" s="155"/>
      <c r="AZ147" s="155"/>
      <c r="BA147" s="155"/>
      <c r="BB147" s="155"/>
      <c r="BC147" s="155"/>
      <c r="BD147" s="155"/>
      <c r="BE147" s="155"/>
      <c r="BF147" s="155"/>
      <c r="BG147" s="155"/>
      <c r="BH147" s="155"/>
      <c r="BI147" s="155"/>
      <c r="BJ147" s="155"/>
      <c r="BK147" s="155"/>
      <c r="BL147" s="155"/>
      <c r="BM147" s="155"/>
      <c r="BN147" s="155"/>
      <c r="BO147" s="155"/>
      <c r="BP147" s="155"/>
      <c r="BQ147" s="155"/>
      <c r="BR147" s="155"/>
      <c r="BS147" s="155"/>
      <c r="BT147" s="155"/>
      <c r="BU147" s="155"/>
      <c r="BV147" s="155"/>
      <c r="BW147" s="155"/>
      <c r="BX147" s="155"/>
      <c r="BY147" s="155"/>
      <c r="BZ147" s="155"/>
      <c r="CA147" s="155"/>
      <c r="CB147" s="155"/>
      <c r="CC147" s="155"/>
      <c r="CD147" s="155"/>
      <c r="CE147" s="155"/>
      <c r="CF147" s="155"/>
      <c r="CG147" s="155"/>
      <c r="CH147" s="155"/>
      <c r="CI147" s="155"/>
      <c r="CJ147" s="155"/>
      <c r="CK147" s="155"/>
      <c r="CL147" s="155"/>
      <c r="CM147" s="155"/>
      <c r="CN147" s="155"/>
      <c r="CO147" s="155"/>
      <c r="CP147" s="155"/>
      <c r="CQ147" s="155"/>
      <c r="CR147" s="155"/>
    </row>
    <row r="148" spans="1:96" x14ac:dyDescent="0.25">
      <c r="A148" s="174">
        <v>22</v>
      </c>
      <c r="B148" s="175" t="s">
        <v>338</v>
      </c>
      <c r="C148" s="176">
        <v>22</v>
      </c>
      <c r="D148" s="177" t="s">
        <v>144</v>
      </c>
      <c r="E148" s="178">
        <v>17.5</v>
      </c>
      <c r="F148" s="178">
        <v>5.5</v>
      </c>
      <c r="G148" s="178">
        <v>12</v>
      </c>
      <c r="H148" s="178">
        <v>0</v>
      </c>
      <c r="I148" s="178">
        <v>0</v>
      </c>
      <c r="J148" s="178">
        <v>0</v>
      </c>
      <c r="K148" s="178">
        <v>0</v>
      </c>
      <c r="L148" s="178"/>
      <c r="M148" s="178"/>
      <c r="N148" s="178"/>
      <c r="O148" s="178"/>
      <c r="P148" s="178"/>
      <c r="Q148" s="155"/>
      <c r="R148" s="155"/>
      <c r="S148" s="155"/>
      <c r="T148" s="155"/>
      <c r="U148" s="155"/>
      <c r="V148" s="155"/>
      <c r="W148" s="155"/>
      <c r="X148" s="155"/>
      <c r="Y148" s="155"/>
      <c r="Z148" s="155"/>
      <c r="AA148" s="155"/>
      <c r="AB148" s="155"/>
      <c r="AC148" s="155"/>
      <c r="AD148" s="155"/>
      <c r="AE148" s="155"/>
      <c r="AF148" s="155"/>
      <c r="AG148" s="155"/>
      <c r="AH148" s="155"/>
      <c r="AI148" s="155"/>
      <c r="AJ148" s="155"/>
      <c r="AK148" s="155"/>
      <c r="AL148" s="156"/>
      <c r="AM148" s="156"/>
      <c r="AN148" s="156"/>
      <c r="AO148" s="156"/>
      <c r="AP148" s="155"/>
      <c r="AQ148" s="155"/>
      <c r="AR148" s="155"/>
      <c r="AS148" s="155"/>
      <c r="AT148" s="155"/>
      <c r="AU148" s="155"/>
      <c r="AV148" s="155"/>
      <c r="AW148" s="155"/>
      <c r="AX148" s="155"/>
      <c r="AY148" s="155"/>
      <c r="AZ148" s="155"/>
      <c r="BA148" s="155"/>
      <c r="BB148" s="155"/>
      <c r="BC148" s="155"/>
      <c r="BD148" s="155"/>
      <c r="BE148" s="155"/>
      <c r="BF148" s="155"/>
      <c r="BG148" s="155"/>
      <c r="BH148" s="155"/>
      <c r="BI148" s="155"/>
      <c r="BJ148" s="155"/>
      <c r="BK148" s="155"/>
      <c r="BL148" s="155"/>
      <c r="BM148" s="155"/>
      <c r="BN148" s="155"/>
      <c r="BO148" s="155"/>
      <c r="BP148" s="155"/>
      <c r="BQ148" s="155"/>
      <c r="BR148" s="155"/>
      <c r="BS148" s="155"/>
      <c r="BT148" s="155"/>
      <c r="BU148" s="155"/>
      <c r="BV148" s="155"/>
      <c r="BW148" s="155"/>
      <c r="BX148" s="155"/>
      <c r="BY148" s="155"/>
      <c r="BZ148" s="155"/>
      <c r="CA148" s="155"/>
      <c r="CB148" s="155"/>
      <c r="CC148" s="155"/>
      <c r="CD148" s="155"/>
      <c r="CE148" s="155"/>
      <c r="CF148" s="155"/>
      <c r="CG148" s="155"/>
      <c r="CH148" s="155"/>
      <c r="CI148" s="155"/>
      <c r="CJ148" s="155"/>
      <c r="CK148" s="155"/>
      <c r="CL148" s="155"/>
      <c r="CM148" s="155"/>
      <c r="CN148" s="155"/>
      <c r="CO148" s="155"/>
      <c r="CP148" s="155"/>
      <c r="CQ148" s="155"/>
      <c r="CR148" s="155"/>
    </row>
    <row r="149" spans="1:96" x14ac:dyDescent="0.25">
      <c r="A149" s="179">
        <v>23</v>
      </c>
      <c r="B149" s="180" t="s">
        <v>338</v>
      </c>
      <c r="C149" s="181">
        <v>23</v>
      </c>
      <c r="D149" s="182" t="s">
        <v>145</v>
      </c>
      <c r="E149" s="183">
        <v>0</v>
      </c>
      <c r="F149" s="183">
        <v>0</v>
      </c>
      <c r="G149" s="183">
        <v>0</v>
      </c>
      <c r="H149" s="183">
        <v>0</v>
      </c>
      <c r="I149" s="183">
        <v>0</v>
      </c>
      <c r="J149" s="183">
        <v>0</v>
      </c>
      <c r="K149" s="183">
        <v>0</v>
      </c>
      <c r="L149" s="183"/>
      <c r="M149" s="183"/>
      <c r="N149" s="183"/>
      <c r="O149" s="183"/>
      <c r="P149" s="183"/>
      <c r="Q149" s="155"/>
      <c r="R149" s="155"/>
      <c r="S149" s="155"/>
      <c r="T149" s="155"/>
      <c r="U149" s="155"/>
      <c r="V149" s="155"/>
      <c r="W149" s="155"/>
      <c r="X149" s="155"/>
      <c r="Y149" s="155"/>
      <c r="Z149" s="155"/>
      <c r="AA149" s="155"/>
      <c r="AB149" s="155"/>
      <c r="AC149" s="155"/>
      <c r="AD149" s="155"/>
      <c r="AE149" s="155"/>
      <c r="AF149" s="155"/>
      <c r="AG149" s="155"/>
      <c r="AH149" s="155"/>
      <c r="AI149" s="155"/>
      <c r="AJ149" s="155"/>
      <c r="AK149" s="155"/>
      <c r="AL149" s="156"/>
      <c r="AM149" s="156"/>
      <c r="AN149" s="156"/>
      <c r="AO149" s="156"/>
      <c r="AP149" s="155"/>
      <c r="AQ149" s="155"/>
      <c r="AR149" s="155"/>
      <c r="AS149" s="155"/>
      <c r="AT149" s="155"/>
      <c r="AU149" s="155"/>
      <c r="AV149" s="155"/>
      <c r="AW149" s="155"/>
      <c r="AX149" s="155"/>
      <c r="AY149" s="155"/>
      <c r="AZ149" s="155"/>
      <c r="BA149" s="155"/>
      <c r="BB149" s="155"/>
      <c r="BC149" s="155"/>
      <c r="BD149" s="155"/>
      <c r="BE149" s="155"/>
      <c r="BF149" s="155"/>
      <c r="BG149" s="155"/>
      <c r="BH149" s="155"/>
      <c r="BI149" s="155"/>
      <c r="BJ149" s="155"/>
      <c r="BK149" s="155"/>
      <c r="BL149" s="155"/>
      <c r="BM149" s="155"/>
      <c r="BN149" s="155"/>
      <c r="BO149" s="155"/>
      <c r="BP149" s="155"/>
      <c r="BQ149" s="155"/>
      <c r="BR149" s="155"/>
      <c r="BS149" s="155"/>
      <c r="BT149" s="155"/>
      <c r="BU149" s="155"/>
      <c r="BV149" s="155"/>
      <c r="BW149" s="155"/>
      <c r="BX149" s="155"/>
      <c r="BY149" s="155"/>
      <c r="BZ149" s="155"/>
      <c r="CA149" s="155"/>
      <c r="CB149" s="155"/>
      <c r="CC149" s="155"/>
      <c r="CD149" s="155"/>
      <c r="CE149" s="155"/>
      <c r="CF149" s="155"/>
      <c r="CG149" s="155"/>
      <c r="CH149" s="155"/>
      <c r="CI149" s="155"/>
      <c r="CJ149" s="155"/>
      <c r="CK149" s="155"/>
      <c r="CL149" s="155"/>
      <c r="CM149" s="155"/>
      <c r="CN149" s="155"/>
      <c r="CO149" s="155"/>
      <c r="CP149" s="155"/>
      <c r="CQ149" s="155"/>
      <c r="CR149" s="155"/>
    </row>
    <row r="150" spans="1:96" x14ac:dyDescent="0.25">
      <c r="A150" s="174">
        <v>24</v>
      </c>
      <c r="B150" s="175" t="s">
        <v>334</v>
      </c>
      <c r="C150" s="176">
        <v>24</v>
      </c>
      <c r="D150" s="186" t="s">
        <v>178</v>
      </c>
      <c r="E150" s="178">
        <v>23</v>
      </c>
      <c r="F150" s="178">
        <v>4.5</v>
      </c>
      <c r="G150" s="178">
        <v>10.5</v>
      </c>
      <c r="H150" s="178">
        <v>0</v>
      </c>
      <c r="I150" s="178">
        <v>0</v>
      </c>
      <c r="J150" s="178">
        <v>3.5</v>
      </c>
      <c r="K150" s="178">
        <v>10</v>
      </c>
      <c r="L150" s="178"/>
      <c r="M150" s="178"/>
      <c r="N150" s="178"/>
      <c r="O150" s="178"/>
      <c r="P150" s="178"/>
      <c r="Q150" s="155"/>
      <c r="R150" s="155"/>
      <c r="S150" s="155"/>
      <c r="T150" s="155"/>
      <c r="U150" s="155"/>
      <c r="V150" s="155"/>
      <c r="W150" s="155"/>
      <c r="X150" s="155"/>
      <c r="Y150" s="155"/>
      <c r="Z150" s="155"/>
      <c r="AA150" s="155"/>
      <c r="AB150" s="155"/>
      <c r="AC150" s="155"/>
      <c r="AD150" s="155"/>
      <c r="AE150" s="155"/>
      <c r="AF150" s="155"/>
      <c r="AG150" s="155"/>
      <c r="AH150" s="155"/>
      <c r="AI150" s="155"/>
      <c r="AJ150" s="155"/>
      <c r="AK150" s="155"/>
      <c r="AL150" s="156"/>
      <c r="AM150" s="156"/>
      <c r="AN150" s="156"/>
      <c r="AO150" s="156"/>
      <c r="AP150" s="155"/>
      <c r="AQ150" s="155"/>
      <c r="AR150" s="155"/>
      <c r="AS150" s="155"/>
      <c r="AT150" s="155"/>
      <c r="AU150" s="155"/>
      <c r="AV150" s="155"/>
      <c r="AW150" s="155"/>
      <c r="AX150" s="155"/>
      <c r="AY150" s="155"/>
      <c r="AZ150" s="155"/>
      <c r="BA150" s="155"/>
      <c r="BB150" s="155"/>
      <c r="BC150" s="155"/>
      <c r="BD150" s="155"/>
      <c r="BE150" s="155"/>
      <c r="BF150" s="155"/>
      <c r="BG150" s="155"/>
      <c r="BH150" s="155"/>
      <c r="BI150" s="155"/>
      <c r="BJ150" s="155"/>
      <c r="BK150" s="155"/>
      <c r="BL150" s="155"/>
      <c r="BM150" s="155"/>
      <c r="BN150" s="155"/>
      <c r="BO150" s="155"/>
      <c r="BP150" s="155"/>
      <c r="BQ150" s="155"/>
      <c r="BR150" s="155"/>
      <c r="BS150" s="155"/>
      <c r="BT150" s="155"/>
      <c r="BU150" s="155"/>
      <c r="BV150" s="155"/>
      <c r="BW150" s="155"/>
      <c r="BX150" s="155"/>
      <c r="BY150" s="155"/>
      <c r="BZ150" s="155"/>
      <c r="CA150" s="155"/>
      <c r="CB150" s="155"/>
      <c r="CC150" s="155"/>
      <c r="CD150" s="155"/>
      <c r="CE150" s="155"/>
      <c r="CF150" s="155"/>
      <c r="CG150" s="155"/>
      <c r="CH150" s="155"/>
      <c r="CI150" s="155"/>
      <c r="CJ150" s="155"/>
      <c r="CK150" s="155"/>
      <c r="CL150" s="155"/>
      <c r="CM150" s="155"/>
      <c r="CN150" s="155"/>
      <c r="CO150" s="155"/>
      <c r="CP150" s="155"/>
      <c r="CQ150" s="155"/>
      <c r="CR150" s="155"/>
    </row>
    <row r="151" spans="1:96" x14ac:dyDescent="0.25">
      <c r="A151" s="179">
        <v>25</v>
      </c>
      <c r="B151" s="180" t="s">
        <v>336</v>
      </c>
      <c r="C151" s="181">
        <v>25</v>
      </c>
      <c r="D151" s="182" t="s">
        <v>153</v>
      </c>
      <c r="E151" s="183">
        <v>0</v>
      </c>
      <c r="F151" s="183">
        <v>0</v>
      </c>
      <c r="G151" s="183">
        <v>0</v>
      </c>
      <c r="H151" s="183">
        <v>0</v>
      </c>
      <c r="I151" s="183">
        <v>0</v>
      </c>
      <c r="J151" s="183">
        <v>0</v>
      </c>
      <c r="K151" s="183">
        <v>0</v>
      </c>
      <c r="L151" s="183"/>
      <c r="M151" s="183"/>
      <c r="N151" s="183"/>
      <c r="O151" s="183"/>
      <c r="P151" s="183"/>
      <c r="Q151" s="155"/>
      <c r="R151" s="155"/>
      <c r="S151" s="155"/>
      <c r="T151" s="155"/>
      <c r="U151" s="155"/>
      <c r="V151" s="155"/>
      <c r="W151" s="155"/>
      <c r="X151" s="155"/>
      <c r="Y151" s="155"/>
      <c r="Z151" s="155"/>
      <c r="AA151" s="155"/>
      <c r="AB151" s="155"/>
      <c r="AC151" s="155"/>
      <c r="AD151" s="155"/>
      <c r="AE151" s="155"/>
      <c r="AF151" s="155"/>
      <c r="AG151" s="155"/>
      <c r="AH151" s="155"/>
      <c r="AI151" s="155"/>
      <c r="AJ151" s="155"/>
      <c r="AK151" s="155"/>
      <c r="AL151" s="156"/>
      <c r="AM151" s="156"/>
      <c r="AN151" s="156"/>
      <c r="AO151" s="156"/>
      <c r="AP151" s="155"/>
      <c r="AQ151" s="155"/>
      <c r="AR151" s="155"/>
      <c r="AS151" s="155"/>
      <c r="AT151" s="155"/>
      <c r="AU151" s="155"/>
      <c r="AV151" s="155"/>
      <c r="AW151" s="155"/>
      <c r="AX151" s="155"/>
      <c r="AY151" s="155"/>
      <c r="AZ151" s="155"/>
      <c r="BA151" s="155"/>
      <c r="BB151" s="155"/>
      <c r="BC151" s="155"/>
      <c r="BD151" s="155"/>
      <c r="BE151" s="155"/>
      <c r="BF151" s="155"/>
      <c r="BG151" s="155"/>
      <c r="BH151" s="155"/>
      <c r="BI151" s="155"/>
      <c r="BJ151" s="155"/>
      <c r="BK151" s="155"/>
      <c r="BL151" s="155"/>
      <c r="BM151" s="155"/>
      <c r="BN151" s="155"/>
      <c r="BO151" s="155"/>
      <c r="BP151" s="155"/>
      <c r="BQ151" s="155"/>
      <c r="BR151" s="155"/>
      <c r="BS151" s="155"/>
      <c r="BT151" s="155"/>
      <c r="BU151" s="155"/>
      <c r="BV151" s="155"/>
      <c r="BW151" s="155"/>
      <c r="BX151" s="155"/>
      <c r="BY151" s="155"/>
      <c r="BZ151" s="155"/>
      <c r="CA151" s="155"/>
      <c r="CB151" s="155"/>
      <c r="CC151" s="155"/>
      <c r="CD151" s="155"/>
      <c r="CE151" s="155"/>
      <c r="CF151" s="155"/>
      <c r="CG151" s="155"/>
      <c r="CH151" s="155"/>
      <c r="CI151" s="155"/>
      <c r="CJ151" s="155"/>
      <c r="CK151" s="155"/>
      <c r="CL151" s="155"/>
      <c r="CM151" s="155"/>
      <c r="CN151" s="155"/>
      <c r="CO151" s="155"/>
      <c r="CP151" s="155"/>
      <c r="CQ151" s="155"/>
      <c r="CR151" s="155"/>
    </row>
    <row r="152" spans="1:96" x14ac:dyDescent="0.25">
      <c r="A152" s="174">
        <v>26</v>
      </c>
      <c r="B152" s="175" t="s">
        <v>344</v>
      </c>
      <c r="C152" s="176">
        <v>26</v>
      </c>
      <c r="D152" s="177" t="s">
        <v>105</v>
      </c>
      <c r="E152" s="178">
        <v>0.5</v>
      </c>
      <c r="F152" s="178">
        <v>0.5</v>
      </c>
      <c r="G152" s="178">
        <v>0</v>
      </c>
      <c r="H152" s="178">
        <v>0</v>
      </c>
      <c r="I152" s="178">
        <v>0</v>
      </c>
      <c r="J152" s="178">
        <v>0</v>
      </c>
      <c r="K152" s="178">
        <v>0</v>
      </c>
      <c r="L152" s="178"/>
      <c r="M152" s="178"/>
      <c r="N152" s="178"/>
      <c r="O152" s="178"/>
      <c r="P152" s="178"/>
      <c r="Q152" s="155"/>
      <c r="R152" s="155"/>
      <c r="S152" s="155"/>
      <c r="T152" s="155"/>
      <c r="U152" s="155"/>
      <c r="V152" s="155"/>
      <c r="W152" s="155"/>
      <c r="X152" s="155"/>
      <c r="Y152" s="155"/>
      <c r="Z152" s="155"/>
      <c r="AA152" s="155"/>
      <c r="AB152" s="155"/>
      <c r="AC152" s="155"/>
      <c r="AD152" s="155"/>
      <c r="AE152" s="155"/>
      <c r="AF152" s="155"/>
      <c r="AG152" s="155"/>
      <c r="AH152" s="155"/>
      <c r="AI152" s="155"/>
      <c r="AJ152" s="155"/>
      <c r="AK152" s="155"/>
      <c r="AL152" s="156"/>
      <c r="AM152" s="156"/>
      <c r="AN152" s="156"/>
      <c r="AO152" s="156"/>
      <c r="AP152" s="155"/>
      <c r="AQ152" s="155"/>
      <c r="AR152" s="155"/>
      <c r="AS152" s="155"/>
      <c r="AT152" s="155"/>
      <c r="AU152" s="155"/>
      <c r="AV152" s="155"/>
      <c r="AW152" s="155"/>
      <c r="AX152" s="155"/>
      <c r="AY152" s="155"/>
      <c r="AZ152" s="155"/>
      <c r="BA152" s="155"/>
      <c r="BB152" s="155"/>
      <c r="BC152" s="155"/>
      <c r="BD152" s="155"/>
      <c r="BE152" s="155"/>
      <c r="BF152" s="155"/>
      <c r="BG152" s="155"/>
      <c r="BH152" s="155"/>
      <c r="BI152" s="155"/>
      <c r="BJ152" s="155"/>
      <c r="BK152" s="155"/>
      <c r="BL152" s="155"/>
      <c r="BM152" s="155"/>
      <c r="BN152" s="155"/>
      <c r="BO152" s="155"/>
      <c r="BP152" s="155"/>
      <c r="BQ152" s="155"/>
      <c r="BR152" s="155"/>
      <c r="BS152" s="155"/>
      <c r="BT152" s="155"/>
      <c r="BU152" s="155"/>
      <c r="BV152" s="155"/>
      <c r="BW152" s="155"/>
      <c r="BX152" s="155"/>
      <c r="BY152" s="155"/>
      <c r="BZ152" s="155"/>
      <c r="CA152" s="155"/>
      <c r="CB152" s="155"/>
      <c r="CC152" s="155"/>
      <c r="CD152" s="155"/>
      <c r="CE152" s="155"/>
      <c r="CF152" s="155"/>
      <c r="CG152" s="155"/>
      <c r="CH152" s="155"/>
      <c r="CI152" s="155"/>
      <c r="CJ152" s="155"/>
      <c r="CK152" s="155"/>
      <c r="CL152" s="155"/>
      <c r="CM152" s="155"/>
      <c r="CN152" s="155"/>
      <c r="CO152" s="155"/>
      <c r="CP152" s="155"/>
      <c r="CQ152" s="155"/>
      <c r="CR152" s="155"/>
    </row>
    <row r="153" spans="1:96" x14ac:dyDescent="0.25">
      <c r="A153" s="179">
        <v>27</v>
      </c>
      <c r="B153" s="180" t="s">
        <v>344</v>
      </c>
      <c r="C153" s="181">
        <v>27</v>
      </c>
      <c r="D153" s="182" t="s">
        <v>146</v>
      </c>
      <c r="E153" s="183">
        <v>53.5</v>
      </c>
      <c r="F153" s="183">
        <v>18</v>
      </c>
      <c r="G153" s="183">
        <v>19</v>
      </c>
      <c r="H153" s="183">
        <v>16.5</v>
      </c>
      <c r="I153" s="183">
        <v>20</v>
      </c>
      <c r="J153" s="183">
        <v>20.5</v>
      </c>
      <c r="K153" s="183">
        <v>17.5</v>
      </c>
      <c r="L153" s="183"/>
      <c r="M153" s="183"/>
      <c r="N153" s="183"/>
      <c r="O153" s="183"/>
      <c r="P153" s="183"/>
      <c r="Q153" s="155"/>
      <c r="R153" s="155"/>
      <c r="S153" s="155"/>
      <c r="T153" s="155"/>
      <c r="U153" s="155"/>
      <c r="V153" s="155"/>
      <c r="W153" s="155"/>
      <c r="X153" s="155"/>
      <c r="Y153" s="155"/>
      <c r="Z153" s="155"/>
      <c r="AA153" s="155"/>
      <c r="AB153" s="155"/>
      <c r="AC153" s="155"/>
      <c r="AD153" s="155"/>
      <c r="AE153" s="155"/>
      <c r="AF153" s="155"/>
      <c r="AG153" s="155"/>
      <c r="AH153" s="155"/>
      <c r="AI153" s="155"/>
      <c r="AJ153" s="155"/>
      <c r="AK153" s="155"/>
      <c r="AL153" s="156"/>
      <c r="AM153" s="156"/>
      <c r="AN153" s="156"/>
      <c r="AO153" s="156"/>
      <c r="AP153" s="155"/>
      <c r="AQ153" s="155"/>
      <c r="AR153" s="155"/>
      <c r="AS153" s="155"/>
      <c r="AT153" s="155"/>
      <c r="AU153" s="155"/>
      <c r="AV153" s="155"/>
      <c r="AW153" s="155"/>
      <c r="AX153" s="155"/>
      <c r="AY153" s="155"/>
      <c r="AZ153" s="155"/>
      <c r="BA153" s="155"/>
      <c r="BB153" s="155"/>
      <c r="BC153" s="155"/>
      <c r="BD153" s="155"/>
      <c r="BE153" s="155"/>
      <c r="BF153" s="155"/>
      <c r="BG153" s="155"/>
      <c r="BH153" s="155"/>
      <c r="BI153" s="155"/>
      <c r="BJ153" s="155"/>
      <c r="BK153" s="155"/>
      <c r="BL153" s="155"/>
      <c r="BM153" s="155"/>
      <c r="BN153" s="155"/>
      <c r="BO153" s="155"/>
      <c r="BP153" s="155"/>
      <c r="BQ153" s="155"/>
      <c r="BR153" s="155"/>
      <c r="BS153" s="155"/>
      <c r="BT153" s="155"/>
      <c r="BU153" s="155"/>
      <c r="BV153" s="155"/>
      <c r="BW153" s="155"/>
      <c r="BX153" s="155"/>
      <c r="BY153" s="155"/>
      <c r="BZ153" s="155"/>
      <c r="CA153" s="155"/>
      <c r="CB153" s="155"/>
      <c r="CC153" s="155"/>
      <c r="CD153" s="155"/>
      <c r="CE153" s="155"/>
      <c r="CF153" s="155"/>
      <c r="CG153" s="155"/>
      <c r="CH153" s="155"/>
      <c r="CI153" s="155"/>
      <c r="CJ153" s="155"/>
      <c r="CK153" s="155"/>
      <c r="CL153" s="155"/>
      <c r="CM153" s="155"/>
      <c r="CN153" s="155"/>
      <c r="CO153" s="155"/>
      <c r="CP153" s="155"/>
      <c r="CQ153" s="155"/>
      <c r="CR153" s="155"/>
    </row>
    <row r="154" spans="1:96" x14ac:dyDescent="0.25">
      <c r="A154" s="174">
        <v>28</v>
      </c>
      <c r="B154" s="175" t="s">
        <v>344</v>
      </c>
      <c r="C154" s="176">
        <v>28</v>
      </c>
      <c r="D154" s="177" t="s">
        <v>106</v>
      </c>
      <c r="E154" s="178">
        <v>0</v>
      </c>
      <c r="F154" s="178">
        <v>0</v>
      </c>
      <c r="G154" s="178">
        <v>0</v>
      </c>
      <c r="H154" s="178">
        <v>0</v>
      </c>
      <c r="I154" s="178">
        <v>0</v>
      </c>
      <c r="J154" s="178">
        <v>0</v>
      </c>
      <c r="K154" s="178">
        <v>0</v>
      </c>
      <c r="L154" s="178"/>
      <c r="M154" s="178"/>
      <c r="N154" s="178"/>
      <c r="O154" s="178"/>
      <c r="P154" s="178"/>
      <c r="Q154" s="155"/>
      <c r="R154" s="155"/>
      <c r="S154" s="155"/>
      <c r="T154" s="155"/>
      <c r="U154" s="155"/>
      <c r="V154" s="155"/>
      <c r="W154" s="155"/>
      <c r="X154" s="155"/>
      <c r="Y154" s="155"/>
      <c r="Z154" s="155"/>
      <c r="AA154" s="155"/>
      <c r="AB154" s="155"/>
      <c r="AC154" s="155"/>
      <c r="AD154" s="155"/>
      <c r="AE154" s="155"/>
      <c r="AF154" s="155"/>
      <c r="AG154" s="155"/>
      <c r="AH154" s="155"/>
      <c r="AI154" s="155"/>
      <c r="AJ154" s="155"/>
      <c r="AK154" s="155"/>
      <c r="AL154" s="156"/>
      <c r="AM154" s="156"/>
      <c r="AN154" s="156"/>
      <c r="AO154" s="156"/>
      <c r="AP154" s="155"/>
      <c r="AQ154" s="155"/>
      <c r="AR154" s="155"/>
      <c r="AS154" s="155"/>
      <c r="AT154" s="155"/>
      <c r="AU154" s="155"/>
      <c r="AV154" s="155"/>
      <c r="AW154" s="155"/>
      <c r="AX154" s="155"/>
      <c r="AY154" s="155"/>
      <c r="AZ154" s="155"/>
      <c r="BA154" s="155"/>
      <c r="BB154" s="155"/>
      <c r="BC154" s="155"/>
      <c r="BD154" s="155"/>
      <c r="BE154" s="155"/>
      <c r="BF154" s="155"/>
      <c r="BG154" s="155"/>
      <c r="BH154" s="155"/>
      <c r="BI154" s="155"/>
      <c r="BJ154" s="155"/>
      <c r="BK154" s="155"/>
      <c r="BL154" s="155"/>
      <c r="BM154" s="155"/>
      <c r="BN154" s="155"/>
      <c r="BO154" s="155"/>
      <c r="BP154" s="155"/>
      <c r="BQ154" s="155"/>
      <c r="BR154" s="155"/>
      <c r="BS154" s="155"/>
      <c r="BT154" s="155"/>
      <c r="BU154" s="155"/>
      <c r="BV154" s="155"/>
      <c r="BW154" s="155"/>
      <c r="BX154" s="155"/>
      <c r="BY154" s="155"/>
      <c r="BZ154" s="155"/>
      <c r="CA154" s="155"/>
      <c r="CB154" s="155"/>
      <c r="CC154" s="155"/>
      <c r="CD154" s="155"/>
      <c r="CE154" s="155"/>
      <c r="CF154" s="155"/>
      <c r="CG154" s="155"/>
      <c r="CH154" s="155"/>
      <c r="CI154" s="155"/>
      <c r="CJ154" s="155"/>
      <c r="CK154" s="155"/>
      <c r="CL154" s="155"/>
      <c r="CM154" s="155"/>
      <c r="CN154" s="155"/>
      <c r="CO154" s="155"/>
      <c r="CP154" s="155"/>
      <c r="CQ154" s="155"/>
      <c r="CR154" s="155"/>
    </row>
    <row r="155" spans="1:96" x14ac:dyDescent="0.25">
      <c r="A155" s="179">
        <v>29</v>
      </c>
      <c r="B155" s="180" t="s">
        <v>344</v>
      </c>
      <c r="C155" s="181">
        <v>29</v>
      </c>
      <c r="D155" s="182" t="s">
        <v>147</v>
      </c>
      <c r="E155" s="183">
        <v>21.5</v>
      </c>
      <c r="F155" s="183">
        <v>8.5</v>
      </c>
      <c r="G155" s="183">
        <v>7</v>
      </c>
      <c r="H155" s="183">
        <v>0</v>
      </c>
      <c r="I155" s="183">
        <v>0</v>
      </c>
      <c r="J155" s="183">
        <v>5.5</v>
      </c>
      <c r="K155" s="183">
        <v>11</v>
      </c>
      <c r="L155" s="183"/>
      <c r="M155" s="183"/>
      <c r="N155" s="183"/>
      <c r="O155" s="183"/>
      <c r="P155" s="183"/>
      <c r="Q155" s="155"/>
      <c r="R155" s="155"/>
      <c r="S155" s="155"/>
      <c r="T155" s="155"/>
      <c r="U155" s="155"/>
      <c r="V155" s="155"/>
      <c r="W155" s="155"/>
      <c r="X155" s="155"/>
      <c r="Y155" s="155"/>
      <c r="Z155" s="155"/>
      <c r="AA155" s="155"/>
      <c r="AB155" s="155"/>
      <c r="AC155" s="155"/>
      <c r="AD155" s="155"/>
      <c r="AE155" s="155"/>
      <c r="AF155" s="155"/>
      <c r="AG155" s="155"/>
      <c r="AH155" s="155"/>
      <c r="AI155" s="155"/>
      <c r="AJ155" s="155"/>
      <c r="AK155" s="155"/>
      <c r="AL155" s="156"/>
      <c r="AM155" s="156"/>
      <c r="AN155" s="156"/>
      <c r="AO155" s="156"/>
      <c r="AP155" s="155"/>
      <c r="AQ155" s="155"/>
      <c r="AR155" s="155"/>
      <c r="AS155" s="155"/>
      <c r="AT155" s="155"/>
      <c r="AU155" s="155"/>
      <c r="AV155" s="155"/>
      <c r="AW155" s="155"/>
      <c r="AX155" s="155"/>
      <c r="AY155" s="155"/>
      <c r="AZ155" s="155"/>
      <c r="BA155" s="155"/>
      <c r="BB155" s="155"/>
      <c r="BC155" s="155"/>
      <c r="BD155" s="155"/>
      <c r="BE155" s="155"/>
      <c r="BF155" s="155"/>
      <c r="BG155" s="155"/>
      <c r="BH155" s="155"/>
      <c r="BI155" s="155"/>
      <c r="BJ155" s="155"/>
      <c r="BK155" s="155"/>
      <c r="BL155" s="155"/>
      <c r="BM155" s="155"/>
      <c r="BN155" s="155"/>
      <c r="BO155" s="155"/>
      <c r="BP155" s="155"/>
      <c r="BQ155" s="155"/>
      <c r="BR155" s="155"/>
      <c r="BS155" s="155"/>
      <c r="BT155" s="155"/>
      <c r="BU155" s="155"/>
      <c r="BV155" s="155"/>
      <c r="BW155" s="155"/>
      <c r="BX155" s="155"/>
      <c r="BY155" s="155"/>
      <c r="BZ155" s="155"/>
      <c r="CA155" s="155"/>
      <c r="CB155" s="155"/>
      <c r="CC155" s="155"/>
      <c r="CD155" s="155"/>
      <c r="CE155" s="155"/>
      <c r="CF155" s="155"/>
      <c r="CG155" s="155"/>
      <c r="CH155" s="155"/>
      <c r="CI155" s="155"/>
      <c r="CJ155" s="155"/>
      <c r="CK155" s="155"/>
      <c r="CL155" s="155"/>
      <c r="CM155" s="155"/>
      <c r="CN155" s="155"/>
      <c r="CO155" s="155"/>
      <c r="CP155" s="155"/>
      <c r="CQ155" s="155"/>
      <c r="CR155" s="155"/>
    </row>
    <row r="156" spans="1:96" x14ac:dyDescent="0.25">
      <c r="A156" s="174">
        <v>30</v>
      </c>
      <c r="B156" s="175" t="s">
        <v>342</v>
      </c>
      <c r="C156" s="176">
        <v>30</v>
      </c>
      <c r="D156" s="186" t="s">
        <v>124</v>
      </c>
      <c r="E156" s="178">
        <v>1.5</v>
      </c>
      <c r="F156" s="178">
        <v>0</v>
      </c>
      <c r="G156" s="178">
        <v>0</v>
      </c>
      <c r="H156" s="178">
        <v>0</v>
      </c>
      <c r="I156" s="178">
        <v>0</v>
      </c>
      <c r="J156" s="178">
        <v>8.5</v>
      </c>
      <c r="K156" s="178">
        <v>13.5</v>
      </c>
      <c r="L156" s="178"/>
      <c r="M156" s="178"/>
      <c r="N156" s="178"/>
      <c r="O156" s="178"/>
      <c r="P156" s="178"/>
      <c r="Q156" s="155"/>
      <c r="R156" s="155"/>
      <c r="S156" s="155"/>
      <c r="T156" s="155"/>
      <c r="U156" s="155"/>
      <c r="V156" s="155"/>
      <c r="W156" s="155"/>
      <c r="X156" s="155"/>
      <c r="Y156" s="155"/>
      <c r="Z156" s="155"/>
      <c r="AA156" s="155"/>
      <c r="AB156" s="155"/>
      <c r="AC156" s="155"/>
      <c r="AD156" s="155"/>
      <c r="AE156" s="155"/>
      <c r="AF156" s="155"/>
      <c r="AG156" s="155"/>
      <c r="AH156" s="155"/>
      <c r="AI156" s="155"/>
      <c r="AJ156" s="155"/>
      <c r="AK156" s="155"/>
      <c r="AL156" s="156"/>
      <c r="AM156" s="156"/>
      <c r="AN156" s="156"/>
      <c r="AO156" s="156"/>
      <c r="AP156" s="155"/>
      <c r="AQ156" s="155"/>
      <c r="AR156" s="155"/>
      <c r="AS156" s="155"/>
      <c r="AT156" s="155"/>
      <c r="AU156" s="155"/>
      <c r="AV156" s="155"/>
      <c r="AW156" s="155"/>
      <c r="AX156" s="155"/>
      <c r="AY156" s="155"/>
      <c r="AZ156" s="155"/>
      <c r="BA156" s="155"/>
      <c r="BB156" s="155"/>
      <c r="BC156" s="155"/>
      <c r="BD156" s="155"/>
      <c r="BE156" s="155"/>
      <c r="BF156" s="155"/>
      <c r="BG156" s="155"/>
      <c r="BH156" s="155"/>
      <c r="BI156" s="155"/>
      <c r="BJ156" s="155"/>
      <c r="BK156" s="155"/>
      <c r="BL156" s="155"/>
      <c r="BM156" s="155"/>
      <c r="BN156" s="155"/>
      <c r="BO156" s="155"/>
      <c r="BP156" s="155"/>
      <c r="BQ156" s="155"/>
      <c r="BR156" s="155"/>
      <c r="BS156" s="155"/>
      <c r="BT156" s="155"/>
      <c r="BU156" s="155"/>
      <c r="BV156" s="155"/>
      <c r="BW156" s="155"/>
      <c r="BX156" s="155"/>
      <c r="BY156" s="155"/>
      <c r="BZ156" s="155"/>
      <c r="CA156" s="155"/>
      <c r="CB156" s="155"/>
      <c r="CC156" s="155"/>
      <c r="CD156" s="155"/>
      <c r="CE156" s="155"/>
      <c r="CF156" s="155"/>
      <c r="CG156" s="155"/>
      <c r="CH156" s="155"/>
      <c r="CI156" s="155"/>
      <c r="CJ156" s="155"/>
      <c r="CK156" s="155"/>
      <c r="CL156" s="155"/>
      <c r="CM156" s="155"/>
      <c r="CN156" s="155"/>
      <c r="CO156" s="155"/>
      <c r="CP156" s="155"/>
      <c r="CQ156" s="155"/>
      <c r="CR156" s="155"/>
    </row>
    <row r="157" spans="1:96" x14ac:dyDescent="0.25">
      <c r="A157" s="179">
        <v>31</v>
      </c>
      <c r="B157" s="180" t="s">
        <v>334</v>
      </c>
      <c r="C157" s="181">
        <v>31</v>
      </c>
      <c r="D157" s="187" t="s">
        <v>134</v>
      </c>
      <c r="E157" s="183">
        <v>1</v>
      </c>
      <c r="F157" s="183">
        <v>0</v>
      </c>
      <c r="G157" s="183">
        <v>0</v>
      </c>
      <c r="H157" s="183">
        <v>0</v>
      </c>
      <c r="I157" s="183">
        <v>0</v>
      </c>
      <c r="J157" s="183">
        <v>5</v>
      </c>
      <c r="K157" s="183">
        <v>8</v>
      </c>
      <c r="L157" s="183"/>
      <c r="M157" s="183"/>
      <c r="N157" s="183"/>
      <c r="O157" s="183"/>
      <c r="P157" s="183"/>
      <c r="Q157" s="155"/>
      <c r="R157" s="155"/>
      <c r="S157" s="155"/>
      <c r="T157" s="155"/>
      <c r="U157" s="155"/>
      <c r="V157" s="155"/>
      <c r="W157" s="155"/>
      <c r="X157" s="155"/>
      <c r="Y157" s="155"/>
      <c r="Z157" s="155"/>
      <c r="AA157" s="155"/>
      <c r="AB157" s="155"/>
      <c r="AC157" s="155"/>
      <c r="AD157" s="155"/>
      <c r="AE157" s="155"/>
      <c r="AF157" s="155"/>
      <c r="AG157" s="155"/>
      <c r="AH157" s="155"/>
      <c r="AI157" s="155"/>
      <c r="AJ157" s="155"/>
      <c r="AK157" s="155"/>
      <c r="AL157" s="156"/>
      <c r="AM157" s="156"/>
      <c r="AN157" s="156"/>
      <c r="AO157" s="156"/>
      <c r="AP157" s="155"/>
      <c r="AQ157" s="155"/>
      <c r="AR157" s="155"/>
      <c r="AS157" s="155"/>
      <c r="AT157" s="155"/>
      <c r="AU157" s="155"/>
      <c r="AV157" s="155"/>
      <c r="AW157" s="155"/>
      <c r="AX157" s="155"/>
      <c r="AY157" s="155"/>
      <c r="AZ157" s="155"/>
      <c r="BA157" s="155"/>
      <c r="BB157" s="155"/>
      <c r="BC157" s="155"/>
      <c r="BD157" s="155"/>
      <c r="BE157" s="155"/>
      <c r="BF157" s="155"/>
      <c r="BG157" s="155"/>
      <c r="BH157" s="155"/>
      <c r="BI157" s="155"/>
      <c r="BJ157" s="155"/>
      <c r="BK157" s="155"/>
      <c r="BL157" s="155"/>
      <c r="BM157" s="155"/>
      <c r="BN157" s="155"/>
      <c r="BO157" s="155"/>
      <c r="BP157" s="155"/>
      <c r="BQ157" s="155"/>
      <c r="BR157" s="155"/>
      <c r="BS157" s="155"/>
      <c r="BT157" s="155"/>
      <c r="BU157" s="155"/>
      <c r="BV157" s="155"/>
      <c r="BW157" s="155"/>
      <c r="BX157" s="155"/>
      <c r="BY157" s="155"/>
      <c r="BZ157" s="155"/>
      <c r="CA157" s="155"/>
      <c r="CB157" s="155"/>
      <c r="CC157" s="155"/>
      <c r="CD157" s="155"/>
      <c r="CE157" s="155"/>
      <c r="CF157" s="155"/>
      <c r="CG157" s="155"/>
      <c r="CH157" s="155"/>
      <c r="CI157" s="155"/>
      <c r="CJ157" s="155"/>
      <c r="CK157" s="155"/>
      <c r="CL157" s="155"/>
      <c r="CM157" s="155"/>
      <c r="CN157" s="155"/>
      <c r="CO157" s="155"/>
      <c r="CP157" s="155"/>
      <c r="CQ157" s="155"/>
      <c r="CR157" s="155"/>
    </row>
    <row r="158" spans="1:96" x14ac:dyDescent="0.25">
      <c r="A158" s="174">
        <v>32</v>
      </c>
      <c r="B158" s="175" t="s">
        <v>345</v>
      </c>
      <c r="C158" s="176">
        <v>32</v>
      </c>
      <c r="D158" s="177" t="s">
        <v>148</v>
      </c>
      <c r="E158" s="178">
        <v>0</v>
      </c>
      <c r="F158" s="178">
        <v>0</v>
      </c>
      <c r="G158" s="178">
        <v>0</v>
      </c>
      <c r="H158" s="178">
        <v>0</v>
      </c>
      <c r="I158" s="178">
        <v>0</v>
      </c>
      <c r="J158" s="178">
        <v>0</v>
      </c>
      <c r="K158" s="178">
        <v>0</v>
      </c>
      <c r="L158" s="178"/>
      <c r="M158" s="178"/>
      <c r="N158" s="178"/>
      <c r="O158" s="178"/>
      <c r="P158" s="178"/>
      <c r="Q158" s="155"/>
      <c r="R158" s="155"/>
      <c r="S158" s="155"/>
      <c r="T158" s="155"/>
      <c r="U158" s="155"/>
      <c r="V158" s="155"/>
      <c r="W158" s="155"/>
      <c r="X158" s="155"/>
      <c r="Y158" s="155"/>
      <c r="Z158" s="155"/>
      <c r="AA158" s="155"/>
      <c r="AB158" s="155"/>
      <c r="AC158" s="155"/>
      <c r="AD158" s="155"/>
      <c r="AE158" s="155"/>
      <c r="AF158" s="155"/>
      <c r="AG158" s="155"/>
      <c r="AH158" s="155"/>
      <c r="AI158" s="155"/>
      <c r="AJ158" s="155"/>
      <c r="AK158" s="155"/>
      <c r="AL158" s="156"/>
      <c r="AM158" s="156"/>
      <c r="AN158" s="156"/>
      <c r="AO158" s="156"/>
      <c r="AP158" s="155"/>
      <c r="AQ158" s="155"/>
      <c r="AR158" s="155"/>
      <c r="AS158" s="155"/>
      <c r="AT158" s="155"/>
      <c r="AU158" s="155"/>
      <c r="AV158" s="155"/>
      <c r="AW158" s="155"/>
      <c r="AX158" s="155"/>
      <c r="AY158" s="155"/>
      <c r="AZ158" s="155"/>
      <c r="BA158" s="155"/>
      <c r="BB158" s="155"/>
      <c r="BC158" s="155"/>
      <c r="BD158" s="155"/>
      <c r="BE158" s="155"/>
      <c r="BF158" s="155"/>
      <c r="BG158" s="155"/>
      <c r="BH158" s="155"/>
      <c r="BI158" s="155"/>
      <c r="BJ158" s="155"/>
      <c r="BK158" s="155"/>
      <c r="BL158" s="155"/>
      <c r="BM158" s="155"/>
      <c r="BN158" s="155"/>
      <c r="BO158" s="155"/>
      <c r="BP158" s="155"/>
      <c r="BQ158" s="155"/>
      <c r="BR158" s="155"/>
      <c r="BS158" s="155"/>
      <c r="BT158" s="155"/>
      <c r="BU158" s="155"/>
      <c r="BV158" s="155"/>
      <c r="BW158" s="155"/>
      <c r="BX158" s="155"/>
      <c r="BY158" s="155"/>
      <c r="BZ158" s="155"/>
      <c r="CA158" s="155"/>
      <c r="CB158" s="155"/>
      <c r="CC158" s="155"/>
      <c r="CD158" s="155"/>
      <c r="CE158" s="155"/>
      <c r="CF158" s="155"/>
      <c r="CG158" s="155"/>
      <c r="CH158" s="155"/>
      <c r="CI158" s="155"/>
      <c r="CJ158" s="155"/>
      <c r="CK158" s="155"/>
      <c r="CL158" s="155"/>
      <c r="CM158" s="155"/>
      <c r="CN158" s="155"/>
      <c r="CO158" s="155"/>
      <c r="CP158" s="155"/>
      <c r="CQ158" s="155"/>
      <c r="CR158" s="155"/>
    </row>
    <row r="159" spans="1:96" x14ac:dyDescent="0.25">
      <c r="A159" s="179">
        <v>33</v>
      </c>
      <c r="B159" s="180" t="s">
        <v>345</v>
      </c>
      <c r="C159" s="181">
        <v>33</v>
      </c>
      <c r="D159" s="182" t="s">
        <v>149</v>
      </c>
      <c r="E159" s="183">
        <v>25.5</v>
      </c>
      <c r="F159" s="183">
        <v>13</v>
      </c>
      <c r="G159" s="183">
        <v>4.5</v>
      </c>
      <c r="H159" s="183">
        <v>0</v>
      </c>
      <c r="I159" s="183">
        <v>0</v>
      </c>
      <c r="J159" s="183">
        <v>8.5</v>
      </c>
      <c r="K159" s="183">
        <v>9.5</v>
      </c>
      <c r="L159" s="183"/>
      <c r="M159" s="183"/>
      <c r="N159" s="183"/>
      <c r="O159" s="183"/>
      <c r="P159" s="183"/>
      <c r="Q159" s="155"/>
      <c r="R159" s="155"/>
      <c r="S159" s="155"/>
      <c r="T159" s="155"/>
      <c r="U159" s="155"/>
      <c r="V159" s="155"/>
      <c r="W159" s="155"/>
      <c r="X159" s="155"/>
      <c r="Y159" s="155"/>
      <c r="Z159" s="155"/>
      <c r="AA159" s="155"/>
      <c r="AB159" s="155"/>
      <c r="AC159" s="155"/>
      <c r="AD159" s="155"/>
      <c r="AE159" s="155"/>
      <c r="AF159" s="155"/>
      <c r="AG159" s="155"/>
      <c r="AH159" s="155"/>
      <c r="AI159" s="155"/>
      <c r="AJ159" s="155"/>
      <c r="AK159" s="155"/>
      <c r="AL159" s="156"/>
      <c r="AM159" s="156"/>
      <c r="AN159" s="156"/>
      <c r="AO159" s="156"/>
      <c r="AP159" s="155"/>
      <c r="AQ159" s="155"/>
      <c r="AR159" s="155"/>
      <c r="AS159" s="155"/>
      <c r="AT159" s="155"/>
      <c r="AU159" s="155"/>
      <c r="AV159" s="155"/>
      <c r="AW159" s="155"/>
      <c r="AX159" s="155"/>
      <c r="AY159" s="155"/>
      <c r="AZ159" s="155"/>
      <c r="BA159" s="155"/>
      <c r="BB159" s="155"/>
      <c r="BC159" s="155"/>
      <c r="BD159" s="155"/>
      <c r="BE159" s="155"/>
      <c r="BF159" s="155"/>
      <c r="BG159" s="155"/>
      <c r="BH159" s="155"/>
      <c r="BI159" s="155"/>
      <c r="BJ159" s="155"/>
      <c r="BK159" s="155"/>
      <c r="BL159" s="155"/>
      <c r="BM159" s="155"/>
      <c r="BN159" s="155"/>
      <c r="BO159" s="155"/>
      <c r="BP159" s="155"/>
      <c r="BQ159" s="155"/>
      <c r="BR159" s="155"/>
      <c r="BS159" s="155"/>
      <c r="BT159" s="155"/>
      <c r="BU159" s="155"/>
      <c r="BV159" s="155"/>
      <c r="BW159" s="155"/>
      <c r="BX159" s="155"/>
      <c r="BY159" s="155"/>
      <c r="BZ159" s="155"/>
      <c r="CA159" s="155"/>
      <c r="CB159" s="155"/>
      <c r="CC159" s="155"/>
      <c r="CD159" s="155"/>
      <c r="CE159" s="155"/>
      <c r="CF159" s="155"/>
      <c r="CG159" s="155"/>
      <c r="CH159" s="155"/>
      <c r="CI159" s="155"/>
      <c r="CJ159" s="155"/>
      <c r="CK159" s="155"/>
      <c r="CL159" s="155"/>
      <c r="CM159" s="155"/>
      <c r="CN159" s="155"/>
      <c r="CO159" s="155"/>
      <c r="CP159" s="155"/>
      <c r="CQ159" s="155"/>
      <c r="CR159" s="155"/>
    </row>
    <row r="160" spans="1:96" x14ac:dyDescent="0.25">
      <c r="A160" s="174">
        <v>34</v>
      </c>
      <c r="B160" s="175" t="s">
        <v>345</v>
      </c>
      <c r="C160" s="176">
        <v>34</v>
      </c>
      <c r="D160" s="177" t="s">
        <v>107</v>
      </c>
      <c r="E160" s="178">
        <v>31.5</v>
      </c>
      <c r="F160" s="178">
        <v>8.5</v>
      </c>
      <c r="G160" s="178">
        <v>15</v>
      </c>
      <c r="H160" s="178">
        <v>0</v>
      </c>
      <c r="I160" s="178">
        <v>0</v>
      </c>
      <c r="J160" s="178">
        <v>8.5</v>
      </c>
      <c r="K160" s="178">
        <v>16.5</v>
      </c>
      <c r="L160" s="178"/>
      <c r="M160" s="178"/>
      <c r="N160" s="178"/>
      <c r="O160" s="178"/>
      <c r="P160" s="178"/>
      <c r="Q160" s="155"/>
      <c r="R160" s="155"/>
      <c r="S160" s="155"/>
      <c r="T160" s="155"/>
      <c r="U160" s="155"/>
      <c r="V160" s="155"/>
      <c r="W160" s="155"/>
      <c r="X160" s="155"/>
      <c r="Y160" s="155"/>
      <c r="Z160" s="155"/>
      <c r="AA160" s="155"/>
      <c r="AB160" s="155"/>
      <c r="AC160" s="155"/>
      <c r="AD160" s="155"/>
      <c r="AE160" s="155"/>
      <c r="AF160" s="155"/>
      <c r="AG160" s="155"/>
      <c r="AH160" s="155"/>
      <c r="AI160" s="155"/>
      <c r="AJ160" s="155"/>
      <c r="AK160" s="155"/>
      <c r="AL160" s="156"/>
      <c r="AM160" s="156"/>
      <c r="AN160" s="156"/>
      <c r="AO160" s="156"/>
      <c r="AP160" s="155"/>
      <c r="AQ160" s="155"/>
      <c r="AR160" s="155"/>
      <c r="AS160" s="155"/>
      <c r="AT160" s="155"/>
      <c r="AU160" s="155"/>
      <c r="AV160" s="155"/>
      <c r="AW160" s="155"/>
      <c r="AX160" s="155"/>
      <c r="AY160" s="155"/>
      <c r="AZ160" s="155"/>
      <c r="BA160" s="155"/>
      <c r="BB160" s="155"/>
      <c r="BC160" s="155"/>
      <c r="BD160" s="155"/>
      <c r="BE160" s="155"/>
      <c r="BF160" s="155"/>
      <c r="BG160" s="155"/>
      <c r="BH160" s="155"/>
      <c r="BI160" s="155"/>
      <c r="BJ160" s="155"/>
      <c r="BK160" s="155"/>
      <c r="BL160" s="155"/>
      <c r="BM160" s="155"/>
      <c r="BN160" s="155"/>
      <c r="BO160" s="155"/>
      <c r="BP160" s="155"/>
      <c r="BQ160" s="155"/>
      <c r="BR160" s="155"/>
      <c r="BS160" s="155"/>
      <c r="BT160" s="155"/>
      <c r="BU160" s="155"/>
      <c r="BV160" s="155"/>
      <c r="BW160" s="155"/>
      <c r="BX160" s="155"/>
      <c r="BY160" s="155"/>
      <c r="BZ160" s="155"/>
      <c r="CA160" s="155"/>
      <c r="CB160" s="155"/>
      <c r="CC160" s="155"/>
      <c r="CD160" s="155"/>
      <c r="CE160" s="155"/>
      <c r="CF160" s="155"/>
      <c r="CG160" s="155"/>
      <c r="CH160" s="155"/>
      <c r="CI160" s="155"/>
      <c r="CJ160" s="155"/>
      <c r="CK160" s="155"/>
      <c r="CL160" s="155"/>
      <c r="CM160" s="155"/>
      <c r="CN160" s="155"/>
      <c r="CO160" s="155"/>
      <c r="CP160" s="155"/>
      <c r="CQ160" s="155"/>
      <c r="CR160" s="155"/>
    </row>
    <row r="161" spans="1:96" x14ac:dyDescent="0.25">
      <c r="A161" s="179">
        <v>35</v>
      </c>
      <c r="B161" s="180" t="s">
        <v>340</v>
      </c>
      <c r="C161" s="181">
        <v>35</v>
      </c>
      <c r="D161" s="182" t="s">
        <v>150</v>
      </c>
      <c r="E161" s="183">
        <v>0</v>
      </c>
      <c r="F161" s="183">
        <v>0</v>
      </c>
      <c r="G161" s="183">
        <v>0</v>
      </c>
      <c r="H161" s="183">
        <v>0</v>
      </c>
      <c r="I161" s="183">
        <v>0</v>
      </c>
      <c r="J161" s="183">
        <v>0</v>
      </c>
      <c r="K161" s="183">
        <v>0</v>
      </c>
      <c r="L161" s="183"/>
      <c r="M161" s="183"/>
      <c r="N161" s="183"/>
      <c r="O161" s="183"/>
      <c r="P161" s="183"/>
      <c r="Q161" s="155"/>
      <c r="R161" s="155"/>
      <c r="S161" s="155"/>
      <c r="T161" s="155"/>
      <c r="U161" s="155"/>
      <c r="V161" s="155"/>
      <c r="W161" s="155"/>
      <c r="X161" s="155"/>
      <c r="Y161" s="155"/>
      <c r="Z161" s="155"/>
      <c r="AA161" s="155"/>
      <c r="AB161" s="155"/>
      <c r="AC161" s="155"/>
      <c r="AD161" s="155"/>
      <c r="AE161" s="155"/>
      <c r="AF161" s="155"/>
      <c r="AG161" s="155"/>
      <c r="AH161" s="155"/>
      <c r="AI161" s="155"/>
      <c r="AJ161" s="155"/>
      <c r="AK161" s="155"/>
      <c r="AL161" s="156"/>
      <c r="AM161" s="156"/>
      <c r="AN161" s="156"/>
      <c r="AO161" s="156"/>
      <c r="AP161" s="155"/>
      <c r="AQ161" s="155"/>
      <c r="AR161" s="155"/>
      <c r="AS161" s="155"/>
      <c r="AT161" s="155"/>
      <c r="AU161" s="155"/>
      <c r="AV161" s="155"/>
      <c r="AW161" s="155"/>
      <c r="AX161" s="155"/>
      <c r="AY161" s="155"/>
      <c r="AZ161" s="155"/>
      <c r="BA161" s="155"/>
      <c r="BB161" s="155"/>
      <c r="BC161" s="155"/>
      <c r="BD161" s="155"/>
      <c r="BE161" s="155"/>
      <c r="BF161" s="155"/>
      <c r="BG161" s="155"/>
      <c r="BH161" s="155"/>
      <c r="BI161" s="155"/>
      <c r="BJ161" s="155"/>
      <c r="BK161" s="155"/>
      <c r="BL161" s="155"/>
      <c r="BM161" s="155"/>
      <c r="BN161" s="155"/>
      <c r="BO161" s="155"/>
      <c r="BP161" s="155"/>
      <c r="BQ161" s="155"/>
      <c r="BR161" s="155"/>
      <c r="BS161" s="155"/>
      <c r="BT161" s="155"/>
      <c r="BU161" s="155"/>
      <c r="BV161" s="155"/>
      <c r="BW161" s="155"/>
      <c r="BX161" s="155"/>
      <c r="BY161" s="155"/>
      <c r="BZ161" s="155"/>
      <c r="CA161" s="155"/>
      <c r="CB161" s="155"/>
      <c r="CC161" s="155"/>
      <c r="CD161" s="155"/>
      <c r="CE161" s="155"/>
      <c r="CF161" s="155"/>
      <c r="CG161" s="155"/>
      <c r="CH161" s="155"/>
      <c r="CI161" s="155"/>
      <c r="CJ161" s="155"/>
      <c r="CK161" s="155"/>
      <c r="CL161" s="155"/>
      <c r="CM161" s="155"/>
      <c r="CN161" s="155"/>
      <c r="CO161" s="155"/>
      <c r="CP161" s="155"/>
      <c r="CQ161" s="155"/>
      <c r="CR161" s="155"/>
    </row>
    <row r="162" spans="1:96" x14ac:dyDescent="0.25">
      <c r="A162" s="174">
        <v>36</v>
      </c>
      <c r="B162" s="175" t="s">
        <v>340</v>
      </c>
      <c r="C162" s="176">
        <v>36</v>
      </c>
      <c r="D162" s="177" t="s">
        <v>151</v>
      </c>
      <c r="E162" s="178">
        <v>0</v>
      </c>
      <c r="F162" s="178">
        <v>0</v>
      </c>
      <c r="G162" s="178">
        <v>0</v>
      </c>
      <c r="H162" s="178">
        <v>0</v>
      </c>
      <c r="I162" s="178">
        <v>0</v>
      </c>
      <c r="J162" s="178">
        <v>0</v>
      </c>
      <c r="K162" s="178">
        <v>0</v>
      </c>
      <c r="L162" s="178"/>
      <c r="M162" s="178"/>
      <c r="N162" s="178"/>
      <c r="O162" s="178"/>
      <c r="P162" s="178"/>
      <c r="Q162" s="155"/>
      <c r="R162" s="155"/>
      <c r="S162" s="155"/>
      <c r="T162" s="155"/>
      <c r="U162" s="155"/>
      <c r="V162" s="155"/>
      <c r="W162" s="155"/>
      <c r="X162" s="155"/>
      <c r="Y162" s="155"/>
      <c r="Z162" s="155"/>
      <c r="AA162" s="155"/>
      <c r="AB162" s="155"/>
      <c r="AC162" s="155"/>
      <c r="AD162" s="155"/>
      <c r="AE162" s="155"/>
      <c r="AF162" s="155"/>
      <c r="AG162" s="155"/>
      <c r="AH162" s="155"/>
      <c r="AI162" s="155"/>
      <c r="AJ162" s="155"/>
      <c r="AK162" s="155"/>
      <c r="AL162" s="156"/>
      <c r="AM162" s="156"/>
      <c r="AN162" s="156"/>
      <c r="AO162" s="156"/>
      <c r="AP162" s="155"/>
      <c r="AQ162" s="155"/>
      <c r="AR162" s="155"/>
      <c r="AS162" s="155"/>
      <c r="AT162" s="155"/>
      <c r="AU162" s="155"/>
      <c r="AV162" s="155"/>
      <c r="AW162" s="155"/>
      <c r="AX162" s="155"/>
      <c r="AY162" s="155"/>
      <c r="AZ162" s="155"/>
      <c r="BA162" s="155"/>
      <c r="BB162" s="155"/>
      <c r="BC162" s="155"/>
      <c r="BD162" s="155"/>
      <c r="BE162" s="155"/>
      <c r="BF162" s="155"/>
      <c r="BG162" s="155"/>
      <c r="BH162" s="155"/>
      <c r="BI162" s="155"/>
      <c r="BJ162" s="155"/>
      <c r="BK162" s="155"/>
      <c r="BL162" s="155"/>
      <c r="BM162" s="155"/>
      <c r="BN162" s="155"/>
      <c r="BO162" s="155"/>
      <c r="BP162" s="155"/>
      <c r="BQ162" s="155"/>
      <c r="BR162" s="155"/>
      <c r="BS162" s="155"/>
      <c r="BT162" s="155"/>
      <c r="BU162" s="155"/>
      <c r="BV162" s="155"/>
      <c r="BW162" s="155"/>
      <c r="BX162" s="155"/>
      <c r="BY162" s="155"/>
      <c r="BZ162" s="155"/>
      <c r="CA162" s="155"/>
      <c r="CB162" s="155"/>
      <c r="CC162" s="155"/>
      <c r="CD162" s="155"/>
      <c r="CE162" s="155"/>
      <c r="CF162" s="155"/>
      <c r="CG162" s="155"/>
      <c r="CH162" s="155"/>
      <c r="CI162" s="155"/>
      <c r="CJ162" s="155"/>
      <c r="CK162" s="155"/>
      <c r="CL162" s="155"/>
      <c r="CM162" s="155"/>
      <c r="CN162" s="155"/>
      <c r="CO162" s="155"/>
      <c r="CP162" s="155"/>
      <c r="CQ162" s="155"/>
      <c r="CR162" s="155"/>
    </row>
    <row r="163" spans="1:96" x14ac:dyDescent="0.25">
      <c r="A163" s="179">
        <v>37</v>
      </c>
      <c r="B163" s="180" t="s">
        <v>345</v>
      </c>
      <c r="C163" s="181">
        <v>37</v>
      </c>
      <c r="D163" s="177" t="s">
        <v>154</v>
      </c>
      <c r="E163" s="183">
        <v>12</v>
      </c>
      <c r="F163" s="183">
        <v>4.5</v>
      </c>
      <c r="G163" s="183">
        <v>3</v>
      </c>
      <c r="H163" s="183">
        <v>0</v>
      </c>
      <c r="I163" s="183">
        <v>0</v>
      </c>
      <c r="J163" s="183">
        <v>8</v>
      </c>
      <c r="K163" s="183">
        <v>6</v>
      </c>
      <c r="L163" s="183"/>
      <c r="M163" s="183"/>
      <c r="N163" s="183"/>
      <c r="O163" s="183"/>
      <c r="P163" s="183"/>
      <c r="Q163" s="155"/>
      <c r="R163" s="155"/>
      <c r="S163" s="155"/>
      <c r="T163" s="155"/>
      <c r="U163" s="155"/>
      <c r="V163" s="155"/>
      <c r="W163" s="155"/>
      <c r="X163" s="155"/>
      <c r="Y163" s="155"/>
      <c r="Z163" s="155"/>
      <c r="AA163" s="155"/>
      <c r="AB163" s="155"/>
      <c r="AC163" s="155"/>
      <c r="AD163" s="155"/>
      <c r="AE163" s="155"/>
      <c r="AF163" s="155"/>
      <c r="AG163" s="155"/>
      <c r="AH163" s="155"/>
      <c r="AI163" s="155"/>
      <c r="AJ163" s="155"/>
      <c r="AK163" s="155"/>
      <c r="AL163" s="156"/>
      <c r="AM163" s="156"/>
      <c r="AN163" s="156"/>
      <c r="AO163" s="156"/>
      <c r="AP163" s="155"/>
      <c r="AQ163" s="155"/>
      <c r="AR163" s="155"/>
      <c r="AS163" s="155"/>
      <c r="AT163" s="155"/>
      <c r="AU163" s="155"/>
      <c r="AV163" s="155"/>
      <c r="AW163" s="155"/>
      <c r="AX163" s="155"/>
      <c r="AY163" s="155"/>
      <c r="AZ163" s="155"/>
      <c r="BA163" s="155"/>
      <c r="BB163" s="155"/>
      <c r="BC163" s="155"/>
      <c r="BD163" s="155"/>
      <c r="BE163" s="155"/>
      <c r="BF163" s="155"/>
      <c r="BG163" s="155"/>
      <c r="BH163" s="155"/>
      <c r="BI163" s="155"/>
      <c r="BJ163" s="155"/>
      <c r="BK163" s="155"/>
      <c r="BL163" s="155"/>
      <c r="BM163" s="155"/>
      <c r="BN163" s="155"/>
      <c r="BO163" s="155"/>
      <c r="BP163" s="155"/>
      <c r="BQ163" s="155"/>
      <c r="BR163" s="155"/>
      <c r="BS163" s="155"/>
      <c r="BT163" s="155"/>
      <c r="BU163" s="155"/>
      <c r="BV163" s="155"/>
      <c r="BW163" s="155"/>
      <c r="BX163" s="155"/>
      <c r="BY163" s="155"/>
      <c r="BZ163" s="155"/>
      <c r="CA163" s="155"/>
      <c r="CB163" s="155"/>
      <c r="CC163" s="155"/>
      <c r="CD163" s="155"/>
      <c r="CE163" s="155"/>
      <c r="CF163" s="155"/>
      <c r="CG163" s="155"/>
      <c r="CH163" s="155"/>
      <c r="CI163" s="155"/>
      <c r="CJ163" s="155"/>
      <c r="CK163" s="155"/>
      <c r="CL163" s="155"/>
      <c r="CM163" s="155"/>
      <c r="CN163" s="155"/>
      <c r="CO163" s="155"/>
      <c r="CP163" s="155"/>
      <c r="CQ163" s="155"/>
      <c r="CR163" s="155"/>
    </row>
    <row r="164" spans="1:96" x14ac:dyDescent="0.25">
      <c r="A164" s="174">
        <v>38</v>
      </c>
      <c r="B164" s="175" t="s">
        <v>336</v>
      </c>
      <c r="C164" s="176">
        <v>38</v>
      </c>
      <c r="D164" s="177" t="s">
        <v>108</v>
      </c>
      <c r="E164" s="178">
        <v>0</v>
      </c>
      <c r="F164" s="178">
        <v>0</v>
      </c>
      <c r="G164" s="178">
        <v>0</v>
      </c>
      <c r="H164" s="178">
        <v>0</v>
      </c>
      <c r="I164" s="178">
        <v>0</v>
      </c>
      <c r="J164" s="178">
        <v>0</v>
      </c>
      <c r="K164" s="178">
        <v>0</v>
      </c>
      <c r="L164" s="178"/>
      <c r="M164" s="178"/>
      <c r="N164" s="178"/>
      <c r="O164" s="178"/>
      <c r="P164" s="178"/>
      <c r="Q164" s="155"/>
      <c r="R164" s="155"/>
      <c r="S164" s="155"/>
      <c r="T164" s="155"/>
      <c r="U164" s="155"/>
      <c r="V164" s="155"/>
      <c r="W164" s="155"/>
      <c r="X164" s="155"/>
      <c r="Y164" s="155"/>
      <c r="Z164" s="155"/>
      <c r="AA164" s="155"/>
      <c r="AB164" s="155"/>
      <c r="AC164" s="155"/>
      <c r="AD164" s="155"/>
      <c r="AE164" s="155"/>
      <c r="AF164" s="155"/>
      <c r="AG164" s="155"/>
      <c r="AH164" s="155"/>
      <c r="AI164" s="155"/>
      <c r="AJ164" s="155"/>
      <c r="AK164" s="155"/>
      <c r="AL164" s="156"/>
      <c r="AM164" s="156"/>
      <c r="AN164" s="156"/>
      <c r="AO164" s="156"/>
      <c r="AP164" s="155"/>
      <c r="AQ164" s="155"/>
      <c r="AR164" s="155"/>
      <c r="AS164" s="155"/>
      <c r="AT164" s="155"/>
      <c r="AU164" s="155"/>
      <c r="AV164" s="155"/>
      <c r="AW164" s="155"/>
      <c r="AX164" s="155"/>
      <c r="AY164" s="155"/>
      <c r="AZ164" s="155"/>
      <c r="BA164" s="155"/>
      <c r="BB164" s="155"/>
      <c r="BC164" s="155"/>
      <c r="BD164" s="155"/>
      <c r="BE164" s="155"/>
      <c r="BF164" s="155"/>
      <c r="BG164" s="155"/>
      <c r="BH164" s="155"/>
      <c r="BI164" s="155"/>
      <c r="BJ164" s="155"/>
      <c r="BK164" s="155"/>
      <c r="BL164" s="155"/>
      <c r="BM164" s="155"/>
      <c r="BN164" s="155"/>
      <c r="BO164" s="155"/>
      <c r="BP164" s="155"/>
      <c r="BQ164" s="155"/>
      <c r="BR164" s="155"/>
      <c r="BS164" s="155"/>
      <c r="BT164" s="155"/>
      <c r="BU164" s="155"/>
      <c r="BV164" s="155"/>
      <c r="BW164" s="155"/>
      <c r="BX164" s="155"/>
      <c r="BY164" s="155"/>
      <c r="BZ164" s="155"/>
      <c r="CA164" s="155"/>
      <c r="CB164" s="155"/>
      <c r="CC164" s="155"/>
      <c r="CD164" s="155"/>
      <c r="CE164" s="155"/>
      <c r="CF164" s="155"/>
      <c r="CG164" s="155"/>
      <c r="CH164" s="155"/>
      <c r="CI164" s="155"/>
      <c r="CJ164" s="155"/>
      <c r="CK164" s="155"/>
      <c r="CL164" s="155"/>
      <c r="CM164" s="155"/>
      <c r="CN164" s="155"/>
      <c r="CO164" s="155"/>
      <c r="CP164" s="155"/>
      <c r="CQ164" s="155"/>
      <c r="CR164" s="155"/>
    </row>
    <row r="165" spans="1:96" x14ac:dyDescent="0.25">
      <c r="A165" s="179">
        <v>39</v>
      </c>
      <c r="B165" s="180" t="s">
        <v>344</v>
      </c>
      <c r="C165" s="181">
        <v>39</v>
      </c>
      <c r="D165" s="182" t="s">
        <v>104</v>
      </c>
      <c r="E165" s="183">
        <v>0</v>
      </c>
      <c r="F165" s="183">
        <v>0</v>
      </c>
      <c r="G165" s="183">
        <v>0</v>
      </c>
      <c r="H165" s="183">
        <v>0</v>
      </c>
      <c r="I165" s="183">
        <v>0</v>
      </c>
      <c r="J165" s="183">
        <v>0</v>
      </c>
      <c r="K165" s="183">
        <v>0</v>
      </c>
      <c r="L165" s="183"/>
      <c r="M165" s="183"/>
      <c r="N165" s="183"/>
      <c r="O165" s="183"/>
      <c r="P165" s="183"/>
      <c r="Q165" s="155"/>
      <c r="R165" s="155"/>
      <c r="S165" s="155"/>
      <c r="T165" s="155"/>
      <c r="U165" s="155"/>
      <c r="V165" s="155"/>
      <c r="W165" s="155"/>
      <c r="X165" s="155"/>
      <c r="Y165" s="155"/>
      <c r="Z165" s="155"/>
      <c r="AA165" s="155"/>
      <c r="AB165" s="155"/>
      <c r="AC165" s="155"/>
      <c r="AD165" s="155"/>
      <c r="AE165" s="155"/>
      <c r="AF165" s="155"/>
      <c r="AG165" s="155"/>
      <c r="AH165" s="155"/>
      <c r="AI165" s="155"/>
      <c r="AJ165" s="155"/>
      <c r="AK165" s="155"/>
      <c r="AL165" s="156"/>
      <c r="AM165" s="156"/>
      <c r="AN165" s="156"/>
      <c r="AO165" s="156"/>
      <c r="AP165" s="155"/>
      <c r="AQ165" s="155"/>
      <c r="AR165" s="155"/>
      <c r="AS165" s="155"/>
      <c r="AT165" s="155"/>
      <c r="AU165" s="155"/>
      <c r="AV165" s="155"/>
      <c r="AW165" s="155"/>
      <c r="AX165" s="155"/>
      <c r="AY165" s="155"/>
      <c r="AZ165" s="155"/>
      <c r="BA165" s="155"/>
      <c r="BB165" s="155"/>
      <c r="BC165" s="155"/>
      <c r="BD165" s="155"/>
      <c r="BE165" s="155"/>
      <c r="BF165" s="155"/>
      <c r="BG165" s="155"/>
      <c r="BH165" s="155"/>
      <c r="BI165" s="155"/>
      <c r="BJ165" s="155"/>
      <c r="BK165" s="155"/>
      <c r="BL165" s="155"/>
      <c r="BM165" s="155"/>
      <c r="BN165" s="155"/>
      <c r="BO165" s="155"/>
      <c r="BP165" s="155"/>
      <c r="BQ165" s="155"/>
      <c r="BR165" s="155"/>
      <c r="BS165" s="155"/>
      <c r="BT165" s="155"/>
      <c r="BU165" s="155"/>
      <c r="BV165" s="155"/>
      <c r="BW165" s="155"/>
      <c r="BX165" s="155"/>
      <c r="BY165" s="155"/>
      <c r="BZ165" s="155"/>
      <c r="CA165" s="155"/>
      <c r="CB165" s="155"/>
      <c r="CC165" s="155"/>
      <c r="CD165" s="155"/>
      <c r="CE165" s="155"/>
      <c r="CF165" s="155"/>
      <c r="CG165" s="155"/>
      <c r="CH165" s="155"/>
      <c r="CI165" s="155"/>
      <c r="CJ165" s="155"/>
      <c r="CK165" s="155"/>
      <c r="CL165" s="155"/>
      <c r="CM165" s="155"/>
      <c r="CN165" s="155"/>
      <c r="CO165" s="155"/>
      <c r="CP165" s="155"/>
      <c r="CQ165" s="155"/>
      <c r="CR165" s="155"/>
    </row>
    <row r="166" spans="1:96" x14ac:dyDescent="0.25">
      <c r="A166" s="174">
        <v>40</v>
      </c>
      <c r="B166" s="175" t="s">
        <v>340</v>
      </c>
      <c r="C166" s="176">
        <v>40</v>
      </c>
      <c r="D166" s="177" t="s">
        <v>152</v>
      </c>
      <c r="E166" s="178">
        <v>8</v>
      </c>
      <c r="F166" s="178">
        <v>1.5</v>
      </c>
      <c r="G166" s="178">
        <v>6.5</v>
      </c>
      <c r="H166" s="178">
        <v>0</v>
      </c>
      <c r="I166" s="178">
        <v>0</v>
      </c>
      <c r="J166" s="178">
        <v>3</v>
      </c>
      <c r="K166" s="178">
        <v>0</v>
      </c>
      <c r="L166" s="178"/>
      <c r="M166" s="178"/>
      <c r="N166" s="178"/>
      <c r="O166" s="178"/>
      <c r="P166" s="178"/>
      <c r="Q166" s="155"/>
      <c r="R166" s="155"/>
      <c r="S166" s="155"/>
      <c r="T166" s="155"/>
      <c r="U166" s="155"/>
      <c r="V166" s="155"/>
      <c r="W166" s="155"/>
      <c r="X166" s="155"/>
      <c r="Y166" s="155"/>
      <c r="Z166" s="155"/>
      <c r="AA166" s="155"/>
      <c r="AB166" s="155"/>
      <c r="AC166" s="155"/>
      <c r="AD166" s="155"/>
      <c r="AE166" s="155"/>
      <c r="AF166" s="155"/>
      <c r="AG166" s="155"/>
      <c r="AH166" s="155"/>
      <c r="AI166" s="155"/>
      <c r="AJ166" s="155"/>
      <c r="AK166" s="155"/>
      <c r="AL166" s="156"/>
      <c r="AM166" s="156"/>
      <c r="AN166" s="156"/>
      <c r="AO166" s="156"/>
      <c r="AP166" s="155"/>
      <c r="AQ166" s="155"/>
      <c r="AR166" s="155"/>
      <c r="AS166" s="155"/>
      <c r="AT166" s="155"/>
      <c r="AU166" s="155"/>
      <c r="AV166" s="155"/>
      <c r="AW166" s="155"/>
      <c r="AX166" s="155"/>
      <c r="AY166" s="155"/>
      <c r="AZ166" s="155"/>
      <c r="BA166" s="155"/>
      <c r="BB166" s="155"/>
      <c r="BC166" s="155"/>
      <c r="BD166" s="155"/>
      <c r="BE166" s="155"/>
      <c r="BF166" s="155"/>
      <c r="BG166" s="155"/>
      <c r="BH166" s="155"/>
      <c r="BI166" s="155"/>
      <c r="BJ166" s="155"/>
      <c r="BK166" s="155"/>
      <c r="BL166" s="155"/>
      <c r="BM166" s="155"/>
      <c r="BN166" s="155"/>
      <c r="BO166" s="155"/>
      <c r="BP166" s="155"/>
      <c r="BQ166" s="155"/>
      <c r="BR166" s="155"/>
      <c r="BS166" s="155"/>
      <c r="BT166" s="155"/>
      <c r="BU166" s="155"/>
      <c r="BV166" s="155"/>
      <c r="BW166" s="155"/>
      <c r="BX166" s="155"/>
      <c r="BY166" s="155"/>
      <c r="BZ166" s="155"/>
      <c r="CA166" s="155"/>
      <c r="CB166" s="155"/>
      <c r="CC166" s="155"/>
      <c r="CD166" s="155"/>
      <c r="CE166" s="155"/>
      <c r="CF166" s="155"/>
      <c r="CG166" s="155"/>
      <c r="CH166" s="155"/>
      <c r="CI166" s="155"/>
      <c r="CJ166" s="155"/>
      <c r="CK166" s="155"/>
      <c r="CL166" s="155"/>
      <c r="CM166" s="155"/>
      <c r="CN166" s="155"/>
      <c r="CO166" s="155"/>
      <c r="CP166" s="155"/>
      <c r="CQ166" s="155"/>
      <c r="CR166" s="155"/>
    </row>
    <row r="167" spans="1:96" x14ac:dyDescent="0.25">
      <c r="A167" s="179">
        <v>41</v>
      </c>
      <c r="B167" s="180" t="s">
        <v>336</v>
      </c>
      <c r="C167" s="181">
        <v>41</v>
      </c>
      <c r="D167" s="182" t="s">
        <v>155</v>
      </c>
      <c r="E167" s="183">
        <v>0.5</v>
      </c>
      <c r="F167" s="183">
        <v>0</v>
      </c>
      <c r="G167" s="183">
        <v>0.5</v>
      </c>
      <c r="H167" s="183">
        <v>0</v>
      </c>
      <c r="I167" s="183">
        <v>0</v>
      </c>
      <c r="J167" s="183">
        <v>0</v>
      </c>
      <c r="K167" s="183">
        <v>0</v>
      </c>
      <c r="L167" s="183"/>
      <c r="M167" s="183"/>
      <c r="N167" s="183"/>
      <c r="O167" s="183"/>
      <c r="P167" s="183"/>
      <c r="Q167" s="155"/>
      <c r="R167" s="155"/>
      <c r="S167" s="155"/>
      <c r="T167" s="155"/>
      <c r="U167" s="155"/>
      <c r="V167" s="155"/>
      <c r="W167" s="155"/>
      <c r="X167" s="155"/>
      <c r="Y167" s="155"/>
      <c r="Z167" s="155"/>
      <c r="AA167" s="155"/>
      <c r="AB167" s="155"/>
      <c r="AC167" s="155"/>
      <c r="AD167" s="155"/>
      <c r="AE167" s="155"/>
      <c r="AF167" s="155"/>
      <c r="AG167" s="155"/>
      <c r="AH167" s="155"/>
      <c r="AI167" s="155"/>
      <c r="AJ167" s="155"/>
      <c r="AK167" s="155"/>
      <c r="AL167" s="156"/>
      <c r="AM167" s="156"/>
      <c r="AN167" s="156"/>
      <c r="AO167" s="156"/>
      <c r="AP167" s="155"/>
      <c r="AQ167" s="155"/>
      <c r="AR167" s="155"/>
      <c r="AS167" s="155"/>
      <c r="AT167" s="155"/>
      <c r="AU167" s="155"/>
      <c r="AV167" s="155"/>
      <c r="AW167" s="155"/>
      <c r="AX167" s="155"/>
      <c r="AY167" s="155"/>
      <c r="AZ167" s="155"/>
      <c r="BA167" s="155"/>
      <c r="BB167" s="155"/>
      <c r="BC167" s="155"/>
      <c r="BD167" s="155"/>
      <c r="BE167" s="155"/>
      <c r="BF167" s="155"/>
      <c r="BG167" s="155"/>
      <c r="BH167" s="155"/>
      <c r="BI167" s="155"/>
      <c r="BJ167" s="155"/>
      <c r="BK167" s="155"/>
      <c r="BL167" s="155"/>
      <c r="BM167" s="155"/>
      <c r="BN167" s="155"/>
      <c r="BO167" s="155"/>
      <c r="BP167" s="155"/>
      <c r="BQ167" s="155"/>
      <c r="BR167" s="155"/>
      <c r="BS167" s="155"/>
      <c r="BT167" s="155"/>
      <c r="BU167" s="155"/>
      <c r="BV167" s="155"/>
      <c r="BW167" s="155"/>
      <c r="BX167" s="155"/>
      <c r="BY167" s="155"/>
      <c r="BZ167" s="155"/>
      <c r="CA167" s="155"/>
      <c r="CB167" s="155"/>
      <c r="CC167" s="155"/>
      <c r="CD167" s="155"/>
      <c r="CE167" s="155"/>
      <c r="CF167" s="155"/>
      <c r="CG167" s="155"/>
      <c r="CH167" s="155"/>
      <c r="CI167" s="155"/>
      <c r="CJ167" s="155"/>
      <c r="CK167" s="155"/>
      <c r="CL167" s="155"/>
      <c r="CM167" s="155"/>
      <c r="CN167" s="155"/>
      <c r="CO167" s="155"/>
      <c r="CP167" s="155"/>
      <c r="CQ167" s="155"/>
      <c r="CR167" s="155"/>
    </row>
    <row r="168" spans="1:96" x14ac:dyDescent="0.25">
      <c r="A168" s="174">
        <v>42</v>
      </c>
      <c r="B168" s="175" t="s">
        <v>336</v>
      </c>
      <c r="C168" s="176">
        <v>42</v>
      </c>
      <c r="D168" s="177" t="s">
        <v>109</v>
      </c>
      <c r="E168" s="178">
        <v>36</v>
      </c>
      <c r="F168" s="178">
        <v>13</v>
      </c>
      <c r="G168" s="178">
        <v>14.5</v>
      </c>
      <c r="H168" s="178">
        <v>0</v>
      </c>
      <c r="I168" s="178">
        <v>0</v>
      </c>
      <c r="J168" s="178">
        <v>10.5</v>
      </c>
      <c r="K168" s="178">
        <v>8</v>
      </c>
      <c r="L168" s="178"/>
      <c r="M168" s="178"/>
      <c r="N168" s="178"/>
      <c r="O168" s="178"/>
      <c r="P168" s="178"/>
      <c r="Q168" s="155"/>
      <c r="R168" s="155"/>
      <c r="S168" s="155"/>
      <c r="T168" s="155"/>
      <c r="U168" s="155"/>
      <c r="V168" s="155"/>
      <c r="W168" s="155"/>
      <c r="X168" s="155"/>
      <c r="Y168" s="155"/>
      <c r="Z168" s="155"/>
      <c r="AA168" s="155"/>
      <c r="AB168" s="155"/>
      <c r="AC168" s="155"/>
      <c r="AD168" s="155"/>
      <c r="AE168" s="155"/>
      <c r="AF168" s="155"/>
      <c r="AG168" s="155"/>
      <c r="AH168" s="155"/>
      <c r="AI168" s="155"/>
      <c r="AJ168" s="155"/>
      <c r="AK168" s="155"/>
      <c r="AL168" s="156"/>
      <c r="AM168" s="156"/>
      <c r="AN168" s="156"/>
      <c r="AO168" s="156"/>
      <c r="AP168" s="155"/>
      <c r="AQ168" s="155"/>
      <c r="AR168" s="155"/>
      <c r="AS168" s="155"/>
      <c r="AT168" s="155"/>
      <c r="AU168" s="155"/>
      <c r="AV168" s="155"/>
      <c r="AW168" s="155"/>
      <c r="AX168" s="155"/>
      <c r="AY168" s="155"/>
      <c r="AZ168" s="155"/>
      <c r="BA168" s="155"/>
      <c r="BB168" s="155"/>
      <c r="BC168" s="155"/>
      <c r="BD168" s="155"/>
      <c r="BE168" s="155"/>
      <c r="BF168" s="155"/>
      <c r="BG168" s="155"/>
      <c r="BH168" s="155"/>
      <c r="BI168" s="155"/>
      <c r="BJ168" s="155"/>
      <c r="BK168" s="155"/>
      <c r="BL168" s="155"/>
      <c r="BM168" s="155"/>
      <c r="BN168" s="155"/>
      <c r="BO168" s="155"/>
      <c r="BP168" s="155"/>
      <c r="BQ168" s="155"/>
      <c r="BR168" s="155"/>
      <c r="BS168" s="155"/>
      <c r="BT168" s="155"/>
      <c r="BU168" s="155"/>
      <c r="BV168" s="155"/>
      <c r="BW168" s="155"/>
      <c r="BX168" s="155"/>
      <c r="BY168" s="155"/>
      <c r="BZ168" s="155"/>
      <c r="CA168" s="155"/>
      <c r="CB168" s="155"/>
      <c r="CC168" s="155"/>
      <c r="CD168" s="155"/>
      <c r="CE168" s="155"/>
      <c r="CF168" s="155"/>
      <c r="CG168" s="155"/>
      <c r="CH168" s="155"/>
      <c r="CI168" s="155"/>
      <c r="CJ168" s="155"/>
      <c r="CK168" s="155"/>
      <c r="CL168" s="155"/>
      <c r="CM168" s="155"/>
      <c r="CN168" s="155"/>
      <c r="CO168" s="155"/>
      <c r="CP168" s="155"/>
      <c r="CQ168" s="155"/>
      <c r="CR168" s="155"/>
    </row>
    <row r="169" spans="1:96" x14ac:dyDescent="0.25">
      <c r="A169" s="179">
        <v>43</v>
      </c>
      <c r="B169" s="180" t="s">
        <v>337</v>
      </c>
      <c r="C169" s="181">
        <v>43</v>
      </c>
      <c r="D169" s="182" t="s">
        <v>110</v>
      </c>
      <c r="E169" s="183">
        <v>0</v>
      </c>
      <c r="F169" s="183">
        <v>0</v>
      </c>
      <c r="G169" s="183">
        <v>0</v>
      </c>
      <c r="H169" s="183">
        <v>0</v>
      </c>
      <c r="I169" s="183">
        <v>0</v>
      </c>
      <c r="J169" s="183">
        <v>0</v>
      </c>
      <c r="K169" s="183">
        <v>0</v>
      </c>
      <c r="L169" s="183"/>
      <c r="M169" s="183"/>
      <c r="N169" s="183"/>
      <c r="O169" s="183"/>
      <c r="P169" s="183"/>
      <c r="Q169" s="155"/>
      <c r="R169" s="155"/>
      <c r="S169" s="155"/>
      <c r="T169" s="155"/>
      <c r="U169" s="155"/>
      <c r="V169" s="155"/>
      <c r="W169" s="155"/>
      <c r="X169" s="155"/>
      <c r="Y169" s="155"/>
      <c r="Z169" s="155"/>
      <c r="AA169" s="155"/>
      <c r="AB169" s="155"/>
      <c r="AC169" s="155"/>
      <c r="AD169" s="155"/>
      <c r="AE169" s="155"/>
      <c r="AF169" s="155"/>
      <c r="AG169" s="155"/>
      <c r="AH169" s="155"/>
      <c r="AI169" s="155"/>
      <c r="AJ169" s="155"/>
      <c r="AK169" s="155"/>
      <c r="AL169" s="156"/>
      <c r="AM169" s="156"/>
      <c r="AN169" s="156"/>
      <c r="AO169" s="156"/>
      <c r="AP169" s="155"/>
      <c r="AQ169" s="155"/>
      <c r="AR169" s="155"/>
      <c r="AS169" s="155"/>
      <c r="AT169" s="155"/>
      <c r="AU169" s="155"/>
      <c r="AV169" s="155"/>
      <c r="AW169" s="155"/>
      <c r="AX169" s="155"/>
      <c r="AY169" s="155"/>
      <c r="AZ169" s="155"/>
      <c r="BA169" s="155"/>
      <c r="BB169" s="155"/>
      <c r="BC169" s="155"/>
      <c r="BD169" s="155"/>
      <c r="BE169" s="155"/>
      <c r="BF169" s="155"/>
      <c r="BG169" s="155"/>
      <c r="BH169" s="155"/>
      <c r="BI169" s="155"/>
      <c r="BJ169" s="155"/>
      <c r="BK169" s="155"/>
      <c r="BL169" s="155"/>
      <c r="BM169" s="155"/>
      <c r="BN169" s="155"/>
      <c r="BO169" s="155"/>
      <c r="BP169" s="155"/>
      <c r="BQ169" s="155"/>
      <c r="BR169" s="155"/>
      <c r="BS169" s="155"/>
      <c r="BT169" s="155"/>
      <c r="BU169" s="155"/>
      <c r="BV169" s="155"/>
      <c r="BW169" s="155"/>
      <c r="BX169" s="155"/>
      <c r="BY169" s="155"/>
      <c r="BZ169" s="155"/>
      <c r="CA169" s="155"/>
      <c r="CB169" s="155"/>
      <c r="CC169" s="155"/>
      <c r="CD169" s="155"/>
      <c r="CE169" s="155"/>
      <c r="CF169" s="155"/>
      <c r="CG169" s="155"/>
      <c r="CH169" s="155"/>
      <c r="CI169" s="155"/>
      <c r="CJ169" s="155"/>
      <c r="CK169" s="155"/>
      <c r="CL169" s="155"/>
      <c r="CM169" s="155"/>
      <c r="CN169" s="155"/>
      <c r="CO169" s="155"/>
      <c r="CP169" s="155"/>
      <c r="CQ169" s="155"/>
      <c r="CR169" s="155"/>
    </row>
    <row r="170" spans="1:96" x14ac:dyDescent="0.25">
      <c r="A170" s="174">
        <v>44</v>
      </c>
      <c r="B170" s="175" t="s">
        <v>337</v>
      </c>
      <c r="C170" s="176">
        <v>44</v>
      </c>
      <c r="D170" s="177" t="s">
        <v>111</v>
      </c>
      <c r="E170" s="178">
        <v>0</v>
      </c>
      <c r="F170" s="178">
        <v>0</v>
      </c>
      <c r="G170" s="178">
        <v>0</v>
      </c>
      <c r="H170" s="178">
        <v>0</v>
      </c>
      <c r="I170" s="178">
        <v>0</v>
      </c>
      <c r="J170" s="178">
        <v>0</v>
      </c>
      <c r="K170" s="178">
        <v>0</v>
      </c>
      <c r="L170" s="178"/>
      <c r="M170" s="178"/>
      <c r="N170" s="178"/>
      <c r="O170" s="178"/>
      <c r="P170" s="178"/>
      <c r="Q170" s="155"/>
      <c r="R170" s="155"/>
      <c r="S170" s="155"/>
      <c r="T170" s="155"/>
      <c r="U170" s="155"/>
      <c r="V170" s="155"/>
      <c r="W170" s="155"/>
      <c r="X170" s="155"/>
      <c r="Y170" s="155"/>
      <c r="Z170" s="155"/>
      <c r="AA170" s="155"/>
      <c r="AB170" s="155"/>
      <c r="AC170" s="155"/>
      <c r="AD170" s="155"/>
      <c r="AE170" s="155"/>
      <c r="AF170" s="155"/>
      <c r="AG170" s="155"/>
      <c r="AH170" s="155"/>
      <c r="AI170" s="155"/>
      <c r="AJ170" s="155"/>
      <c r="AK170" s="155"/>
      <c r="AL170" s="156"/>
      <c r="AM170" s="156"/>
      <c r="AN170" s="156"/>
      <c r="AO170" s="156"/>
      <c r="AP170" s="155"/>
      <c r="AQ170" s="155"/>
      <c r="AR170" s="155"/>
      <c r="AS170" s="155"/>
      <c r="AT170" s="155"/>
      <c r="AU170" s="155"/>
      <c r="AV170" s="155"/>
      <c r="AW170" s="155"/>
      <c r="AX170" s="155"/>
      <c r="AY170" s="155"/>
      <c r="AZ170" s="155"/>
      <c r="BA170" s="155"/>
      <c r="BB170" s="155"/>
      <c r="BC170" s="155"/>
      <c r="BD170" s="155"/>
      <c r="BE170" s="155"/>
      <c r="BF170" s="155"/>
      <c r="BG170" s="155"/>
      <c r="BH170" s="155"/>
      <c r="BI170" s="155"/>
      <c r="BJ170" s="155"/>
      <c r="BK170" s="155"/>
      <c r="BL170" s="155"/>
      <c r="BM170" s="155"/>
      <c r="BN170" s="155"/>
      <c r="BO170" s="155"/>
      <c r="BP170" s="155"/>
      <c r="BQ170" s="155"/>
      <c r="BR170" s="155"/>
      <c r="BS170" s="155"/>
      <c r="BT170" s="155"/>
      <c r="BU170" s="155"/>
      <c r="BV170" s="155"/>
      <c r="BW170" s="155"/>
      <c r="BX170" s="155"/>
      <c r="BY170" s="155"/>
      <c r="BZ170" s="155"/>
      <c r="CA170" s="155"/>
      <c r="CB170" s="155"/>
      <c r="CC170" s="155"/>
      <c r="CD170" s="155"/>
      <c r="CE170" s="155"/>
      <c r="CF170" s="155"/>
      <c r="CG170" s="155"/>
      <c r="CH170" s="155"/>
      <c r="CI170" s="155"/>
      <c r="CJ170" s="155"/>
      <c r="CK170" s="155"/>
      <c r="CL170" s="155"/>
      <c r="CM170" s="155"/>
      <c r="CN170" s="155"/>
      <c r="CO170" s="155"/>
      <c r="CP170" s="155"/>
      <c r="CQ170" s="155"/>
      <c r="CR170" s="155"/>
    </row>
    <row r="171" spans="1:96" x14ac:dyDescent="0.25">
      <c r="A171" s="179">
        <v>45</v>
      </c>
      <c r="B171" s="180" t="s">
        <v>337</v>
      </c>
      <c r="C171" s="181">
        <v>45</v>
      </c>
      <c r="D171" s="182" t="s">
        <v>156</v>
      </c>
      <c r="E171" s="183">
        <v>0.5</v>
      </c>
      <c r="F171" s="183">
        <v>0</v>
      </c>
      <c r="G171" s="183">
        <v>0</v>
      </c>
      <c r="H171" s="183">
        <v>0</v>
      </c>
      <c r="I171" s="183">
        <v>0</v>
      </c>
      <c r="J171" s="183">
        <v>0</v>
      </c>
      <c r="K171" s="183">
        <v>0</v>
      </c>
      <c r="L171" s="183"/>
      <c r="M171" s="183"/>
      <c r="N171" s="183"/>
      <c r="O171" s="183"/>
      <c r="P171" s="183"/>
      <c r="Q171" s="155"/>
      <c r="R171" s="155"/>
      <c r="S171" s="155"/>
      <c r="T171" s="155"/>
      <c r="U171" s="155"/>
      <c r="V171" s="155"/>
      <c r="W171" s="155"/>
      <c r="X171" s="155"/>
      <c r="Y171" s="155"/>
      <c r="Z171" s="155"/>
      <c r="AA171" s="155"/>
      <c r="AB171" s="155"/>
      <c r="AC171" s="155"/>
      <c r="AD171" s="155"/>
      <c r="AE171" s="155"/>
      <c r="AF171" s="155"/>
      <c r="AG171" s="155"/>
      <c r="AH171" s="155"/>
      <c r="AI171" s="155"/>
      <c r="AJ171" s="155"/>
      <c r="AK171" s="155"/>
      <c r="AL171" s="156"/>
      <c r="AM171" s="156"/>
      <c r="AN171" s="156"/>
      <c r="AO171" s="156"/>
      <c r="AP171" s="155"/>
      <c r="AQ171" s="155"/>
      <c r="AR171" s="155"/>
      <c r="AS171" s="155"/>
      <c r="AT171" s="155"/>
      <c r="AU171" s="155"/>
      <c r="AV171" s="155"/>
      <c r="AW171" s="155"/>
      <c r="AX171" s="155"/>
      <c r="AY171" s="155"/>
      <c r="AZ171" s="155"/>
      <c r="BA171" s="155"/>
      <c r="BB171" s="155"/>
      <c r="BC171" s="155"/>
      <c r="BD171" s="155"/>
      <c r="BE171" s="155"/>
      <c r="BF171" s="155"/>
      <c r="BG171" s="155"/>
      <c r="BH171" s="155"/>
      <c r="BI171" s="155"/>
      <c r="BJ171" s="155"/>
      <c r="BK171" s="155"/>
      <c r="BL171" s="155"/>
      <c r="BM171" s="155"/>
      <c r="BN171" s="155"/>
      <c r="BO171" s="155"/>
      <c r="BP171" s="155"/>
      <c r="BQ171" s="155"/>
      <c r="BR171" s="155"/>
      <c r="BS171" s="155"/>
      <c r="BT171" s="155"/>
      <c r="BU171" s="155"/>
      <c r="BV171" s="155"/>
      <c r="BW171" s="155"/>
      <c r="BX171" s="155"/>
      <c r="BY171" s="155"/>
      <c r="BZ171" s="155"/>
      <c r="CA171" s="155"/>
      <c r="CB171" s="155"/>
      <c r="CC171" s="155"/>
      <c r="CD171" s="155"/>
      <c r="CE171" s="155"/>
      <c r="CF171" s="155"/>
      <c r="CG171" s="155"/>
      <c r="CH171" s="155"/>
      <c r="CI171" s="155"/>
      <c r="CJ171" s="155"/>
      <c r="CK171" s="155"/>
      <c r="CL171" s="155"/>
      <c r="CM171" s="155"/>
      <c r="CN171" s="155"/>
      <c r="CO171" s="155"/>
      <c r="CP171" s="155"/>
      <c r="CQ171" s="155"/>
      <c r="CR171" s="155"/>
    </row>
    <row r="172" spans="1:96" x14ac:dyDescent="0.25">
      <c r="A172" s="174">
        <v>46</v>
      </c>
      <c r="B172" s="175" t="s">
        <v>337</v>
      </c>
      <c r="C172" s="176">
        <v>46</v>
      </c>
      <c r="D172" s="177" t="s">
        <v>157</v>
      </c>
      <c r="E172" s="178">
        <v>0</v>
      </c>
      <c r="F172" s="178">
        <v>0</v>
      </c>
      <c r="G172" s="178">
        <v>0</v>
      </c>
      <c r="H172" s="178">
        <v>0</v>
      </c>
      <c r="I172" s="178">
        <v>0</v>
      </c>
      <c r="J172" s="178">
        <v>0</v>
      </c>
      <c r="K172" s="178">
        <v>0</v>
      </c>
      <c r="L172" s="178"/>
      <c r="M172" s="178"/>
      <c r="N172" s="178"/>
      <c r="O172" s="178"/>
      <c r="P172" s="178"/>
      <c r="Q172" s="155"/>
      <c r="R172" s="155"/>
      <c r="S172" s="155"/>
      <c r="T172" s="155"/>
      <c r="U172" s="155"/>
      <c r="V172" s="155"/>
      <c r="W172" s="155"/>
      <c r="X172" s="155"/>
      <c r="Y172" s="155"/>
      <c r="Z172" s="155"/>
      <c r="AA172" s="155"/>
      <c r="AB172" s="155"/>
      <c r="AC172" s="155"/>
      <c r="AD172" s="155"/>
      <c r="AE172" s="155"/>
      <c r="AF172" s="155"/>
      <c r="AG172" s="155"/>
      <c r="AH172" s="155"/>
      <c r="AI172" s="155"/>
      <c r="AJ172" s="155"/>
      <c r="AK172" s="155"/>
      <c r="AL172" s="156"/>
      <c r="AM172" s="156"/>
      <c r="AN172" s="156"/>
      <c r="AO172" s="156"/>
      <c r="AP172" s="155"/>
      <c r="AQ172" s="155"/>
      <c r="AR172" s="155"/>
      <c r="AS172" s="155"/>
      <c r="AT172" s="155"/>
      <c r="AU172" s="155"/>
      <c r="AV172" s="155"/>
      <c r="AW172" s="155"/>
      <c r="AX172" s="155"/>
      <c r="AY172" s="155"/>
      <c r="AZ172" s="155"/>
      <c r="BA172" s="155"/>
      <c r="BB172" s="155"/>
      <c r="BC172" s="155"/>
      <c r="BD172" s="155"/>
      <c r="BE172" s="155"/>
      <c r="BF172" s="155"/>
      <c r="BG172" s="155"/>
      <c r="BH172" s="155"/>
      <c r="BI172" s="155"/>
      <c r="BJ172" s="155"/>
      <c r="BK172" s="155"/>
      <c r="BL172" s="155"/>
      <c r="BM172" s="155"/>
      <c r="BN172" s="155"/>
      <c r="BO172" s="155"/>
      <c r="BP172" s="155"/>
      <c r="BQ172" s="155"/>
      <c r="BR172" s="155"/>
      <c r="BS172" s="155"/>
      <c r="BT172" s="155"/>
      <c r="BU172" s="155"/>
      <c r="BV172" s="155"/>
      <c r="BW172" s="155"/>
      <c r="BX172" s="155"/>
      <c r="BY172" s="155"/>
      <c r="BZ172" s="155"/>
      <c r="CA172" s="155"/>
      <c r="CB172" s="155"/>
      <c r="CC172" s="155"/>
      <c r="CD172" s="155"/>
      <c r="CE172" s="155"/>
      <c r="CF172" s="155"/>
      <c r="CG172" s="155"/>
      <c r="CH172" s="155"/>
      <c r="CI172" s="155"/>
      <c r="CJ172" s="155"/>
      <c r="CK172" s="155"/>
      <c r="CL172" s="155"/>
      <c r="CM172" s="155"/>
      <c r="CN172" s="155"/>
      <c r="CO172" s="155"/>
      <c r="CP172" s="155"/>
      <c r="CQ172" s="155"/>
      <c r="CR172" s="155"/>
    </row>
    <row r="173" spans="1:96" x14ac:dyDescent="0.25">
      <c r="A173" s="179">
        <v>47</v>
      </c>
      <c r="B173" s="180" t="s">
        <v>337</v>
      </c>
      <c r="C173" s="181">
        <v>47</v>
      </c>
      <c r="D173" s="182" t="s">
        <v>158</v>
      </c>
      <c r="E173" s="183">
        <v>0</v>
      </c>
      <c r="F173" s="183">
        <v>0</v>
      </c>
      <c r="G173" s="183">
        <v>0</v>
      </c>
      <c r="H173" s="183">
        <v>0</v>
      </c>
      <c r="I173" s="183">
        <v>0</v>
      </c>
      <c r="J173" s="183">
        <v>0</v>
      </c>
      <c r="K173" s="183">
        <v>0</v>
      </c>
      <c r="L173" s="183"/>
      <c r="M173" s="183"/>
      <c r="N173" s="183"/>
      <c r="O173" s="183"/>
      <c r="P173" s="183"/>
      <c r="Q173" s="155"/>
      <c r="R173" s="155"/>
      <c r="S173" s="155"/>
      <c r="T173" s="155"/>
      <c r="U173" s="155"/>
      <c r="V173" s="155"/>
      <c r="W173" s="155"/>
      <c r="X173" s="155"/>
      <c r="Y173" s="155"/>
      <c r="Z173" s="155"/>
      <c r="AA173" s="155"/>
      <c r="AB173" s="155"/>
      <c r="AC173" s="155"/>
      <c r="AD173" s="155"/>
      <c r="AE173" s="155"/>
      <c r="AF173" s="155"/>
      <c r="AG173" s="155"/>
      <c r="AH173" s="155"/>
      <c r="AI173" s="155"/>
      <c r="AJ173" s="155"/>
      <c r="AK173" s="155"/>
      <c r="AL173" s="156"/>
      <c r="AM173" s="156"/>
      <c r="AN173" s="156"/>
      <c r="AO173" s="156"/>
      <c r="AP173" s="155"/>
      <c r="AQ173" s="155"/>
      <c r="AR173" s="155"/>
      <c r="AS173" s="155"/>
      <c r="AT173" s="155"/>
      <c r="AU173" s="155"/>
      <c r="AV173" s="155"/>
      <c r="AW173" s="155"/>
      <c r="AX173" s="155"/>
      <c r="AY173" s="155"/>
      <c r="AZ173" s="155"/>
      <c r="BA173" s="155"/>
      <c r="BB173" s="155"/>
      <c r="BC173" s="155"/>
      <c r="BD173" s="155"/>
      <c r="BE173" s="155"/>
      <c r="BF173" s="155"/>
      <c r="BG173" s="155"/>
      <c r="BH173" s="155"/>
      <c r="BI173" s="155"/>
      <c r="BJ173" s="155"/>
      <c r="BK173" s="155"/>
      <c r="BL173" s="155"/>
      <c r="BM173" s="155"/>
      <c r="BN173" s="155"/>
      <c r="BO173" s="155"/>
      <c r="BP173" s="155"/>
      <c r="BQ173" s="155"/>
      <c r="BR173" s="155"/>
      <c r="BS173" s="155"/>
      <c r="BT173" s="155"/>
      <c r="BU173" s="155"/>
      <c r="BV173" s="155"/>
      <c r="BW173" s="155"/>
      <c r="BX173" s="155"/>
      <c r="BY173" s="155"/>
      <c r="BZ173" s="155"/>
      <c r="CA173" s="155"/>
      <c r="CB173" s="155"/>
      <c r="CC173" s="155"/>
      <c r="CD173" s="155"/>
      <c r="CE173" s="155"/>
      <c r="CF173" s="155"/>
      <c r="CG173" s="155"/>
      <c r="CH173" s="155"/>
      <c r="CI173" s="155"/>
      <c r="CJ173" s="155"/>
      <c r="CK173" s="155"/>
      <c r="CL173" s="155"/>
      <c r="CM173" s="155"/>
      <c r="CN173" s="155"/>
      <c r="CO173" s="155"/>
      <c r="CP173" s="155"/>
      <c r="CQ173" s="155"/>
      <c r="CR173" s="155"/>
    </row>
    <row r="174" spans="1:96" x14ac:dyDescent="0.25">
      <c r="A174" s="174">
        <v>48</v>
      </c>
      <c r="B174" s="175" t="s">
        <v>334</v>
      </c>
      <c r="C174" s="176">
        <v>48</v>
      </c>
      <c r="D174" s="177" t="s">
        <v>112</v>
      </c>
      <c r="E174" s="178">
        <v>0</v>
      </c>
      <c r="F174" s="178">
        <v>0</v>
      </c>
      <c r="G174" s="178">
        <v>0</v>
      </c>
      <c r="H174" s="178">
        <v>0</v>
      </c>
      <c r="I174" s="178">
        <v>0</v>
      </c>
      <c r="J174" s="178">
        <v>0</v>
      </c>
      <c r="K174" s="178">
        <v>0</v>
      </c>
      <c r="L174" s="178"/>
      <c r="M174" s="178"/>
      <c r="N174" s="178"/>
      <c r="O174" s="178"/>
      <c r="P174" s="178"/>
      <c r="Q174" s="155"/>
      <c r="R174" s="155"/>
      <c r="S174" s="155"/>
      <c r="T174" s="155"/>
      <c r="U174" s="155"/>
      <c r="V174" s="155"/>
      <c r="W174" s="155"/>
      <c r="X174" s="155"/>
      <c r="Y174" s="155"/>
      <c r="Z174" s="155"/>
      <c r="AA174" s="155"/>
      <c r="AB174" s="155"/>
      <c r="AC174" s="155"/>
      <c r="AD174" s="155"/>
      <c r="AE174" s="155"/>
      <c r="AF174" s="155"/>
      <c r="AG174" s="155"/>
      <c r="AH174" s="155"/>
      <c r="AI174" s="155"/>
      <c r="AJ174" s="155"/>
      <c r="AK174" s="155"/>
      <c r="AL174" s="156"/>
      <c r="AM174" s="156"/>
      <c r="AN174" s="156"/>
      <c r="AO174" s="156"/>
      <c r="AP174" s="155"/>
      <c r="AQ174" s="155"/>
      <c r="AR174" s="155"/>
      <c r="AS174" s="155"/>
      <c r="AT174" s="155"/>
      <c r="AU174" s="155"/>
      <c r="AV174" s="155"/>
      <c r="AW174" s="155"/>
      <c r="AX174" s="155"/>
      <c r="AY174" s="155"/>
      <c r="AZ174" s="155"/>
      <c r="BA174" s="155"/>
      <c r="BB174" s="155"/>
      <c r="BC174" s="155"/>
      <c r="BD174" s="155"/>
      <c r="BE174" s="155"/>
      <c r="BF174" s="155"/>
      <c r="BG174" s="155"/>
      <c r="BH174" s="155"/>
      <c r="BI174" s="155"/>
      <c r="BJ174" s="155"/>
      <c r="BK174" s="155"/>
      <c r="BL174" s="155"/>
      <c r="BM174" s="155"/>
      <c r="BN174" s="155"/>
      <c r="BO174" s="155"/>
      <c r="BP174" s="155"/>
      <c r="BQ174" s="155"/>
      <c r="BR174" s="155"/>
      <c r="BS174" s="155"/>
      <c r="BT174" s="155"/>
      <c r="BU174" s="155"/>
      <c r="BV174" s="155"/>
      <c r="BW174" s="155"/>
      <c r="BX174" s="155"/>
      <c r="BY174" s="155"/>
      <c r="BZ174" s="155"/>
      <c r="CA174" s="155"/>
      <c r="CB174" s="155"/>
      <c r="CC174" s="155"/>
      <c r="CD174" s="155"/>
      <c r="CE174" s="155"/>
      <c r="CF174" s="155"/>
      <c r="CG174" s="155"/>
      <c r="CH174" s="155"/>
      <c r="CI174" s="155"/>
      <c r="CJ174" s="155"/>
      <c r="CK174" s="155"/>
      <c r="CL174" s="155"/>
      <c r="CM174" s="155"/>
      <c r="CN174" s="155"/>
      <c r="CO174" s="155"/>
      <c r="CP174" s="155"/>
      <c r="CQ174" s="155"/>
      <c r="CR174" s="155"/>
    </row>
    <row r="175" spans="1:96" x14ac:dyDescent="0.25">
      <c r="A175" s="179">
        <v>49</v>
      </c>
      <c r="B175" s="180" t="s">
        <v>334</v>
      </c>
      <c r="C175" s="181">
        <v>49</v>
      </c>
      <c r="D175" s="182" t="s">
        <v>113</v>
      </c>
      <c r="E175" s="183">
        <v>0</v>
      </c>
      <c r="F175" s="183">
        <v>0</v>
      </c>
      <c r="G175" s="183">
        <v>0</v>
      </c>
      <c r="H175" s="183">
        <v>1</v>
      </c>
      <c r="I175" s="183">
        <v>0</v>
      </c>
      <c r="J175" s="183">
        <v>0</v>
      </c>
      <c r="K175" s="183">
        <v>0</v>
      </c>
      <c r="L175" s="183"/>
      <c r="M175" s="183"/>
      <c r="N175" s="183"/>
      <c r="O175" s="183"/>
      <c r="P175" s="183"/>
      <c r="Q175" s="155"/>
      <c r="R175" s="155"/>
      <c r="S175" s="155"/>
      <c r="T175" s="155"/>
      <c r="U175" s="155"/>
      <c r="V175" s="155"/>
      <c r="W175" s="155"/>
      <c r="X175" s="155"/>
      <c r="Y175" s="155"/>
      <c r="Z175" s="155"/>
      <c r="AA175" s="155"/>
      <c r="AB175" s="155"/>
      <c r="AC175" s="155"/>
      <c r="AD175" s="155"/>
      <c r="AE175" s="155"/>
      <c r="AF175" s="155"/>
      <c r="AG175" s="155"/>
      <c r="AH175" s="155"/>
      <c r="AI175" s="155"/>
      <c r="AJ175" s="155"/>
      <c r="AK175" s="155"/>
      <c r="AL175" s="156"/>
      <c r="AM175" s="156"/>
      <c r="AN175" s="156"/>
      <c r="AO175" s="156"/>
      <c r="AP175" s="155"/>
      <c r="AQ175" s="155"/>
      <c r="AR175" s="155"/>
      <c r="AS175" s="155"/>
      <c r="AT175" s="155"/>
      <c r="AU175" s="155"/>
      <c r="AV175" s="155"/>
      <c r="AW175" s="155"/>
      <c r="AX175" s="155"/>
      <c r="AY175" s="155"/>
      <c r="AZ175" s="155"/>
      <c r="BA175" s="155"/>
      <c r="BB175" s="155"/>
      <c r="BC175" s="155"/>
      <c r="BD175" s="155"/>
      <c r="BE175" s="155"/>
      <c r="BF175" s="155"/>
      <c r="BG175" s="155"/>
      <c r="BH175" s="155"/>
      <c r="BI175" s="155"/>
      <c r="BJ175" s="155"/>
      <c r="BK175" s="155"/>
      <c r="BL175" s="155"/>
      <c r="BM175" s="155"/>
      <c r="BN175" s="155"/>
      <c r="BO175" s="155"/>
      <c r="BP175" s="155"/>
      <c r="BQ175" s="155"/>
      <c r="BR175" s="155"/>
      <c r="BS175" s="155"/>
      <c r="BT175" s="155"/>
      <c r="BU175" s="155"/>
      <c r="BV175" s="155"/>
      <c r="BW175" s="155"/>
      <c r="BX175" s="155"/>
      <c r="BY175" s="155"/>
      <c r="BZ175" s="155"/>
      <c r="CA175" s="155"/>
      <c r="CB175" s="155"/>
      <c r="CC175" s="155"/>
      <c r="CD175" s="155"/>
      <c r="CE175" s="155"/>
      <c r="CF175" s="155"/>
      <c r="CG175" s="155"/>
      <c r="CH175" s="155"/>
      <c r="CI175" s="155"/>
      <c r="CJ175" s="155"/>
      <c r="CK175" s="155"/>
      <c r="CL175" s="155"/>
      <c r="CM175" s="155"/>
      <c r="CN175" s="155"/>
      <c r="CO175" s="155"/>
      <c r="CP175" s="155"/>
      <c r="CQ175" s="155"/>
      <c r="CR175" s="155"/>
    </row>
    <row r="176" spans="1:96" x14ac:dyDescent="0.25">
      <c r="A176" s="174">
        <v>50</v>
      </c>
      <c r="B176" s="175" t="s">
        <v>334</v>
      </c>
      <c r="C176" s="176">
        <v>50</v>
      </c>
      <c r="D176" s="177" t="s">
        <v>159</v>
      </c>
      <c r="E176" s="178">
        <v>1</v>
      </c>
      <c r="F176" s="178">
        <v>0</v>
      </c>
      <c r="G176" s="178">
        <v>1</v>
      </c>
      <c r="H176" s="178">
        <v>0</v>
      </c>
      <c r="I176" s="178">
        <v>0</v>
      </c>
      <c r="J176" s="178">
        <v>0</v>
      </c>
      <c r="K176" s="178">
        <v>0</v>
      </c>
      <c r="L176" s="178"/>
      <c r="M176" s="178"/>
      <c r="N176" s="178"/>
      <c r="O176" s="178"/>
      <c r="P176" s="178"/>
      <c r="Q176" s="155"/>
      <c r="R176" s="155"/>
      <c r="S176" s="155"/>
      <c r="T176" s="155"/>
      <c r="U176" s="155"/>
      <c r="V176" s="155"/>
      <c r="W176" s="155"/>
      <c r="X176" s="155"/>
      <c r="Y176" s="155"/>
      <c r="Z176" s="155"/>
      <c r="AA176" s="155"/>
      <c r="AB176" s="155"/>
      <c r="AC176" s="155"/>
      <c r="AD176" s="155"/>
      <c r="AE176" s="155"/>
      <c r="AF176" s="155"/>
      <c r="AG176" s="155"/>
      <c r="AH176" s="155"/>
      <c r="AI176" s="155"/>
      <c r="AJ176" s="155"/>
      <c r="AK176" s="155"/>
      <c r="AL176" s="156"/>
      <c r="AM176" s="156"/>
      <c r="AN176" s="156"/>
      <c r="AO176" s="156"/>
      <c r="AP176" s="155"/>
      <c r="AQ176" s="155"/>
      <c r="AR176" s="155"/>
      <c r="AS176" s="155"/>
      <c r="AT176" s="155"/>
      <c r="AU176" s="155"/>
      <c r="AV176" s="155"/>
      <c r="AW176" s="155"/>
      <c r="AX176" s="155"/>
      <c r="AY176" s="155"/>
      <c r="AZ176" s="155"/>
      <c r="BA176" s="155"/>
      <c r="BB176" s="155"/>
      <c r="BC176" s="155"/>
      <c r="BD176" s="155"/>
      <c r="BE176" s="155"/>
      <c r="BF176" s="155"/>
      <c r="BG176" s="155"/>
      <c r="BH176" s="155"/>
      <c r="BI176" s="155"/>
      <c r="BJ176" s="155"/>
      <c r="BK176" s="155"/>
      <c r="BL176" s="155"/>
      <c r="BM176" s="155"/>
      <c r="BN176" s="155"/>
      <c r="BO176" s="155"/>
      <c r="BP176" s="155"/>
      <c r="BQ176" s="155"/>
      <c r="BR176" s="155"/>
      <c r="BS176" s="155"/>
      <c r="BT176" s="155"/>
      <c r="BU176" s="155"/>
      <c r="BV176" s="155"/>
      <c r="BW176" s="155"/>
      <c r="BX176" s="155"/>
      <c r="BY176" s="155"/>
      <c r="BZ176" s="155"/>
      <c r="CA176" s="155"/>
      <c r="CB176" s="155"/>
      <c r="CC176" s="155"/>
      <c r="CD176" s="155"/>
      <c r="CE176" s="155"/>
      <c r="CF176" s="155"/>
      <c r="CG176" s="155"/>
      <c r="CH176" s="155"/>
      <c r="CI176" s="155"/>
      <c r="CJ176" s="155"/>
      <c r="CK176" s="155"/>
      <c r="CL176" s="155"/>
      <c r="CM176" s="155"/>
      <c r="CN176" s="155"/>
      <c r="CO176" s="155"/>
      <c r="CP176" s="155"/>
      <c r="CQ176" s="155"/>
      <c r="CR176" s="155"/>
    </row>
    <row r="177" spans="1:96" x14ac:dyDescent="0.25">
      <c r="A177" s="179">
        <v>51</v>
      </c>
      <c r="B177" s="180" t="s">
        <v>334</v>
      </c>
      <c r="C177" s="181">
        <v>51</v>
      </c>
      <c r="D177" s="182" t="s">
        <v>114</v>
      </c>
      <c r="E177" s="183">
        <v>4.5</v>
      </c>
      <c r="F177" s="183">
        <v>2.5</v>
      </c>
      <c r="G177" s="183">
        <v>1.5</v>
      </c>
      <c r="H177" s="183">
        <v>0</v>
      </c>
      <c r="I177" s="183">
        <v>0</v>
      </c>
      <c r="J177" s="183">
        <v>0</v>
      </c>
      <c r="K177" s="183">
        <v>0</v>
      </c>
      <c r="L177" s="183"/>
      <c r="M177" s="183"/>
      <c r="N177" s="183"/>
      <c r="O177" s="183"/>
      <c r="P177" s="183"/>
      <c r="Q177" s="155"/>
      <c r="R177" s="155"/>
      <c r="S177" s="155"/>
      <c r="T177" s="155"/>
      <c r="U177" s="155"/>
      <c r="V177" s="155"/>
      <c r="W177" s="155"/>
      <c r="X177" s="155"/>
      <c r="Y177" s="155"/>
      <c r="Z177" s="155"/>
      <c r="AA177" s="155"/>
      <c r="AB177" s="155"/>
      <c r="AC177" s="155"/>
      <c r="AD177" s="155"/>
      <c r="AE177" s="155"/>
      <c r="AF177" s="155"/>
      <c r="AG177" s="155"/>
      <c r="AH177" s="155"/>
      <c r="AI177" s="155"/>
      <c r="AJ177" s="155"/>
      <c r="AK177" s="155"/>
      <c r="AL177" s="156"/>
      <c r="AM177" s="156"/>
      <c r="AN177" s="156"/>
      <c r="AO177" s="156"/>
      <c r="AP177" s="155"/>
      <c r="AQ177" s="155"/>
      <c r="AR177" s="155"/>
      <c r="AS177" s="155"/>
      <c r="AT177" s="155"/>
      <c r="AU177" s="155"/>
      <c r="AV177" s="155"/>
      <c r="AW177" s="155"/>
      <c r="AX177" s="155"/>
      <c r="AY177" s="155"/>
      <c r="AZ177" s="155"/>
      <c r="BA177" s="155"/>
      <c r="BB177" s="155"/>
      <c r="BC177" s="155"/>
      <c r="BD177" s="155"/>
      <c r="BE177" s="155"/>
      <c r="BF177" s="155"/>
      <c r="BG177" s="155"/>
      <c r="BH177" s="155"/>
      <c r="BI177" s="155"/>
      <c r="BJ177" s="155"/>
      <c r="BK177" s="155"/>
      <c r="BL177" s="155"/>
      <c r="BM177" s="155"/>
      <c r="BN177" s="155"/>
      <c r="BO177" s="155"/>
      <c r="BP177" s="155"/>
      <c r="BQ177" s="155"/>
      <c r="BR177" s="155"/>
      <c r="BS177" s="155"/>
      <c r="BT177" s="155"/>
      <c r="BU177" s="155"/>
      <c r="BV177" s="155"/>
      <c r="BW177" s="155"/>
      <c r="BX177" s="155"/>
      <c r="BY177" s="155"/>
      <c r="BZ177" s="155"/>
      <c r="CA177" s="155"/>
      <c r="CB177" s="155"/>
      <c r="CC177" s="155"/>
      <c r="CD177" s="155"/>
      <c r="CE177" s="155"/>
      <c r="CF177" s="155"/>
      <c r="CG177" s="155"/>
      <c r="CH177" s="155"/>
      <c r="CI177" s="155"/>
      <c r="CJ177" s="155"/>
      <c r="CK177" s="155"/>
      <c r="CL177" s="155"/>
      <c r="CM177" s="155"/>
      <c r="CN177" s="155"/>
      <c r="CO177" s="155"/>
      <c r="CP177" s="155"/>
      <c r="CQ177" s="155"/>
      <c r="CR177" s="155"/>
    </row>
    <row r="178" spans="1:96" x14ac:dyDescent="0.25">
      <c r="A178" s="174">
        <v>52</v>
      </c>
      <c r="B178" s="175" t="s">
        <v>334</v>
      </c>
      <c r="C178" s="176">
        <v>52</v>
      </c>
      <c r="D178" s="177" t="s">
        <v>115</v>
      </c>
      <c r="E178" s="178">
        <v>0</v>
      </c>
      <c r="F178" s="178">
        <v>0</v>
      </c>
      <c r="G178" s="178">
        <v>0</v>
      </c>
      <c r="H178" s="178">
        <v>0</v>
      </c>
      <c r="I178" s="178">
        <v>0</v>
      </c>
      <c r="J178" s="178">
        <v>0</v>
      </c>
      <c r="K178" s="178">
        <v>0</v>
      </c>
      <c r="L178" s="178"/>
      <c r="M178" s="178"/>
      <c r="N178" s="178"/>
      <c r="O178" s="178"/>
      <c r="P178" s="178"/>
      <c r="Q178" s="155"/>
      <c r="R178" s="155"/>
      <c r="S178" s="155"/>
      <c r="T178" s="155"/>
      <c r="U178" s="155"/>
      <c r="V178" s="155"/>
      <c r="W178" s="155"/>
      <c r="X178" s="155"/>
      <c r="Y178" s="155"/>
      <c r="Z178" s="155"/>
      <c r="AA178" s="155"/>
      <c r="AB178" s="155"/>
      <c r="AC178" s="155"/>
      <c r="AD178" s="155"/>
      <c r="AE178" s="155"/>
      <c r="AF178" s="155"/>
      <c r="AG178" s="155"/>
      <c r="AH178" s="155"/>
      <c r="AI178" s="155"/>
      <c r="AJ178" s="155"/>
      <c r="AK178" s="155"/>
      <c r="AL178" s="156"/>
      <c r="AM178" s="156"/>
      <c r="AN178" s="156"/>
      <c r="AO178" s="156"/>
      <c r="AP178" s="155"/>
      <c r="AQ178" s="155"/>
      <c r="AR178" s="155"/>
      <c r="AS178" s="155"/>
      <c r="AT178" s="155"/>
      <c r="AU178" s="155"/>
      <c r="AV178" s="155"/>
      <c r="AW178" s="155"/>
      <c r="AX178" s="155"/>
      <c r="AY178" s="155"/>
      <c r="AZ178" s="155"/>
      <c r="BA178" s="155"/>
      <c r="BB178" s="155"/>
      <c r="BC178" s="155"/>
      <c r="BD178" s="155"/>
      <c r="BE178" s="155"/>
      <c r="BF178" s="155"/>
      <c r="BG178" s="155"/>
      <c r="BH178" s="155"/>
      <c r="BI178" s="155"/>
      <c r="BJ178" s="155"/>
      <c r="BK178" s="155"/>
      <c r="BL178" s="155"/>
      <c r="BM178" s="155"/>
      <c r="BN178" s="155"/>
      <c r="BO178" s="155"/>
      <c r="BP178" s="155"/>
      <c r="BQ178" s="155"/>
      <c r="BR178" s="155"/>
      <c r="BS178" s="155"/>
      <c r="BT178" s="155"/>
      <c r="BU178" s="155"/>
      <c r="BV178" s="155"/>
      <c r="BW178" s="155"/>
      <c r="BX178" s="155"/>
      <c r="BY178" s="155"/>
      <c r="BZ178" s="155"/>
      <c r="CA178" s="155"/>
      <c r="CB178" s="155"/>
      <c r="CC178" s="155"/>
      <c r="CD178" s="155"/>
      <c r="CE178" s="155"/>
      <c r="CF178" s="155"/>
      <c r="CG178" s="155"/>
      <c r="CH178" s="155"/>
      <c r="CI178" s="155"/>
      <c r="CJ178" s="155"/>
      <c r="CK178" s="155"/>
      <c r="CL178" s="155"/>
      <c r="CM178" s="155"/>
      <c r="CN178" s="155"/>
      <c r="CO178" s="155"/>
      <c r="CP178" s="155"/>
      <c r="CQ178" s="155"/>
      <c r="CR178" s="155"/>
    </row>
    <row r="179" spans="1:96" x14ac:dyDescent="0.25">
      <c r="A179" s="179">
        <v>53</v>
      </c>
      <c r="B179" s="180" t="s">
        <v>334</v>
      </c>
      <c r="C179" s="181">
        <v>53</v>
      </c>
      <c r="D179" s="182" t="s">
        <v>116</v>
      </c>
      <c r="E179" s="183">
        <v>0</v>
      </c>
      <c r="F179" s="183">
        <v>0</v>
      </c>
      <c r="G179" s="183">
        <v>0</v>
      </c>
      <c r="H179" s="183">
        <v>0</v>
      </c>
      <c r="I179" s="183">
        <v>0</v>
      </c>
      <c r="J179" s="183">
        <v>0</v>
      </c>
      <c r="K179" s="183">
        <v>0</v>
      </c>
      <c r="L179" s="183"/>
      <c r="M179" s="183"/>
      <c r="N179" s="183"/>
      <c r="O179" s="183"/>
      <c r="P179" s="183"/>
      <c r="Q179" s="155"/>
      <c r="R179" s="155"/>
      <c r="S179" s="155"/>
      <c r="T179" s="155"/>
      <c r="U179" s="155"/>
      <c r="V179" s="155"/>
      <c r="W179" s="155"/>
      <c r="X179" s="155"/>
      <c r="Y179" s="155"/>
      <c r="Z179" s="155"/>
      <c r="AA179" s="155"/>
      <c r="AB179" s="155"/>
      <c r="AC179" s="155"/>
      <c r="AD179" s="155"/>
      <c r="AE179" s="155"/>
      <c r="AF179" s="155"/>
      <c r="AG179" s="155"/>
      <c r="AH179" s="155"/>
      <c r="AI179" s="155"/>
      <c r="AJ179" s="155"/>
      <c r="AK179" s="155"/>
      <c r="AL179" s="156"/>
      <c r="AM179" s="156"/>
      <c r="AN179" s="156"/>
      <c r="AO179" s="156"/>
      <c r="AP179" s="155"/>
      <c r="AQ179" s="155"/>
      <c r="AR179" s="155"/>
      <c r="AS179" s="155"/>
      <c r="AT179" s="155"/>
      <c r="AU179" s="155"/>
      <c r="AV179" s="155"/>
      <c r="AW179" s="155"/>
      <c r="AX179" s="155"/>
      <c r="AY179" s="155"/>
      <c r="AZ179" s="155"/>
      <c r="BA179" s="155"/>
      <c r="BB179" s="155"/>
      <c r="BC179" s="155"/>
      <c r="BD179" s="155"/>
      <c r="BE179" s="155"/>
      <c r="BF179" s="155"/>
      <c r="BG179" s="155"/>
      <c r="BH179" s="155"/>
      <c r="BI179" s="155"/>
      <c r="BJ179" s="155"/>
      <c r="BK179" s="155"/>
      <c r="BL179" s="155"/>
      <c r="BM179" s="155"/>
      <c r="BN179" s="155"/>
      <c r="BO179" s="155"/>
      <c r="BP179" s="155"/>
      <c r="BQ179" s="155"/>
      <c r="BR179" s="155"/>
      <c r="BS179" s="155"/>
      <c r="BT179" s="155"/>
      <c r="BU179" s="155"/>
      <c r="BV179" s="155"/>
      <c r="BW179" s="155"/>
      <c r="BX179" s="155"/>
      <c r="BY179" s="155"/>
      <c r="BZ179" s="155"/>
      <c r="CA179" s="155"/>
      <c r="CB179" s="155"/>
      <c r="CC179" s="155"/>
      <c r="CD179" s="155"/>
      <c r="CE179" s="155"/>
      <c r="CF179" s="155"/>
      <c r="CG179" s="155"/>
      <c r="CH179" s="155"/>
      <c r="CI179" s="155"/>
      <c r="CJ179" s="155"/>
      <c r="CK179" s="155"/>
      <c r="CL179" s="155"/>
      <c r="CM179" s="155"/>
      <c r="CN179" s="155"/>
      <c r="CO179" s="155"/>
      <c r="CP179" s="155"/>
      <c r="CQ179" s="155"/>
      <c r="CR179" s="155"/>
    </row>
    <row r="180" spans="1:96" x14ac:dyDescent="0.25">
      <c r="A180" s="174">
        <v>54</v>
      </c>
      <c r="B180" s="175" t="s">
        <v>334</v>
      </c>
      <c r="C180" s="176">
        <v>54</v>
      </c>
      <c r="D180" s="177" t="s">
        <v>160</v>
      </c>
      <c r="E180" s="178">
        <v>0</v>
      </c>
      <c r="F180" s="178">
        <v>0</v>
      </c>
      <c r="G180" s="178">
        <v>0</v>
      </c>
      <c r="H180" s="178">
        <v>0</v>
      </c>
      <c r="I180" s="178">
        <v>0</v>
      </c>
      <c r="J180" s="178">
        <v>0</v>
      </c>
      <c r="K180" s="178">
        <v>0</v>
      </c>
      <c r="L180" s="178"/>
      <c r="M180" s="178"/>
      <c r="N180" s="178"/>
      <c r="O180" s="178"/>
      <c r="P180" s="178"/>
      <c r="Q180" s="155"/>
      <c r="R180" s="155"/>
      <c r="S180" s="155"/>
      <c r="T180" s="155"/>
      <c r="U180" s="155"/>
      <c r="V180" s="155"/>
      <c r="W180" s="155"/>
      <c r="X180" s="155"/>
      <c r="Y180" s="155"/>
      <c r="Z180" s="155"/>
      <c r="AA180" s="155"/>
      <c r="AB180" s="155"/>
      <c r="AC180" s="155"/>
      <c r="AD180" s="155"/>
      <c r="AE180" s="155"/>
      <c r="AF180" s="155"/>
      <c r="AG180" s="155"/>
      <c r="AH180" s="155"/>
      <c r="AI180" s="155"/>
      <c r="AJ180" s="155"/>
      <c r="AK180" s="155"/>
      <c r="AL180" s="156"/>
      <c r="AM180" s="156"/>
      <c r="AN180" s="156"/>
      <c r="AO180" s="156"/>
      <c r="AP180" s="155"/>
      <c r="AQ180" s="155"/>
      <c r="AR180" s="155"/>
      <c r="AS180" s="155"/>
      <c r="AT180" s="155"/>
      <c r="AU180" s="155"/>
      <c r="AV180" s="155"/>
      <c r="AW180" s="155"/>
      <c r="AX180" s="155"/>
      <c r="AY180" s="155"/>
      <c r="AZ180" s="155"/>
      <c r="BA180" s="155"/>
      <c r="BB180" s="155"/>
      <c r="BC180" s="155"/>
      <c r="BD180" s="155"/>
      <c r="BE180" s="155"/>
      <c r="BF180" s="155"/>
      <c r="BG180" s="155"/>
      <c r="BH180" s="155"/>
      <c r="BI180" s="155"/>
      <c r="BJ180" s="155"/>
      <c r="BK180" s="155"/>
      <c r="BL180" s="155"/>
      <c r="BM180" s="155"/>
      <c r="BN180" s="155"/>
      <c r="BO180" s="155"/>
      <c r="BP180" s="155"/>
      <c r="BQ180" s="155"/>
      <c r="BR180" s="155"/>
      <c r="BS180" s="155"/>
      <c r="BT180" s="155"/>
      <c r="BU180" s="155"/>
      <c r="BV180" s="155"/>
      <c r="BW180" s="155"/>
      <c r="BX180" s="155"/>
      <c r="BY180" s="155"/>
      <c r="BZ180" s="155"/>
      <c r="CA180" s="155"/>
      <c r="CB180" s="155"/>
      <c r="CC180" s="155"/>
      <c r="CD180" s="155"/>
      <c r="CE180" s="155"/>
      <c r="CF180" s="155"/>
      <c r="CG180" s="155"/>
      <c r="CH180" s="155"/>
      <c r="CI180" s="155"/>
      <c r="CJ180" s="155"/>
      <c r="CK180" s="155"/>
      <c r="CL180" s="155"/>
      <c r="CM180" s="155"/>
      <c r="CN180" s="155"/>
      <c r="CO180" s="155"/>
      <c r="CP180" s="155"/>
      <c r="CQ180" s="155"/>
      <c r="CR180" s="155"/>
    </row>
    <row r="181" spans="1:96" x14ac:dyDescent="0.25">
      <c r="A181" s="179">
        <v>55</v>
      </c>
      <c r="B181" s="180" t="s">
        <v>334</v>
      </c>
      <c r="C181" s="181">
        <v>55</v>
      </c>
      <c r="D181" s="187" t="s">
        <v>126</v>
      </c>
      <c r="E181" s="183">
        <v>0</v>
      </c>
      <c r="F181" s="183">
        <v>0</v>
      </c>
      <c r="G181" s="183">
        <v>0</v>
      </c>
      <c r="H181" s="183">
        <v>0</v>
      </c>
      <c r="I181" s="183">
        <v>0</v>
      </c>
      <c r="J181" s="183">
        <v>0</v>
      </c>
      <c r="K181" s="183">
        <v>0</v>
      </c>
      <c r="L181" s="183"/>
      <c r="M181" s="183"/>
      <c r="N181" s="183"/>
      <c r="O181" s="183"/>
      <c r="P181" s="183"/>
      <c r="Q181" s="155"/>
      <c r="R181" s="155"/>
      <c r="S181" s="155"/>
      <c r="T181" s="155"/>
      <c r="U181" s="155"/>
      <c r="V181" s="155"/>
      <c r="W181" s="155"/>
      <c r="X181" s="155"/>
      <c r="Y181" s="155"/>
      <c r="Z181" s="155"/>
      <c r="AA181" s="155"/>
      <c r="AB181" s="155"/>
      <c r="AC181" s="155"/>
      <c r="AD181" s="155"/>
      <c r="AE181" s="155"/>
      <c r="AF181" s="155"/>
      <c r="AG181" s="155"/>
      <c r="AH181" s="155"/>
      <c r="AI181" s="155"/>
      <c r="AJ181" s="155"/>
      <c r="AK181" s="155"/>
      <c r="AL181" s="156"/>
      <c r="AM181" s="156"/>
      <c r="AN181" s="156"/>
      <c r="AO181" s="156"/>
      <c r="AP181" s="155"/>
      <c r="AQ181" s="155"/>
      <c r="AR181" s="155"/>
      <c r="AS181" s="155"/>
      <c r="AT181" s="155"/>
      <c r="AU181" s="155"/>
      <c r="AV181" s="155"/>
      <c r="AW181" s="155"/>
      <c r="AX181" s="155"/>
      <c r="AY181" s="155"/>
      <c r="AZ181" s="155"/>
      <c r="BA181" s="155"/>
      <c r="BB181" s="155"/>
      <c r="BC181" s="155"/>
      <c r="BD181" s="155"/>
      <c r="BE181" s="155"/>
      <c r="BF181" s="155"/>
      <c r="BG181" s="155"/>
      <c r="BH181" s="155"/>
      <c r="BI181" s="155"/>
      <c r="BJ181" s="155"/>
      <c r="BK181" s="155"/>
      <c r="BL181" s="155"/>
      <c r="BM181" s="155"/>
      <c r="BN181" s="155"/>
      <c r="BO181" s="155"/>
      <c r="BP181" s="155"/>
      <c r="BQ181" s="155"/>
      <c r="BR181" s="155"/>
      <c r="BS181" s="155"/>
      <c r="BT181" s="155"/>
      <c r="BU181" s="155"/>
      <c r="BV181" s="155"/>
      <c r="BW181" s="155"/>
      <c r="BX181" s="155"/>
      <c r="BY181" s="155"/>
      <c r="BZ181" s="155"/>
      <c r="CA181" s="155"/>
      <c r="CB181" s="155"/>
      <c r="CC181" s="155"/>
      <c r="CD181" s="155"/>
      <c r="CE181" s="155"/>
      <c r="CF181" s="155"/>
      <c r="CG181" s="155"/>
      <c r="CH181" s="155"/>
      <c r="CI181" s="155"/>
      <c r="CJ181" s="155"/>
      <c r="CK181" s="155"/>
      <c r="CL181" s="155"/>
      <c r="CM181" s="155"/>
      <c r="CN181" s="155"/>
      <c r="CO181" s="155"/>
      <c r="CP181" s="155"/>
      <c r="CQ181" s="155"/>
      <c r="CR181" s="155"/>
    </row>
    <row r="182" spans="1:96" x14ac:dyDescent="0.25">
      <c r="A182" s="174">
        <v>56</v>
      </c>
      <c r="B182" s="175" t="s">
        <v>333</v>
      </c>
      <c r="C182" s="176">
        <v>56</v>
      </c>
      <c r="D182" s="177" t="s">
        <v>165</v>
      </c>
      <c r="E182" s="178">
        <v>0</v>
      </c>
      <c r="F182" s="178">
        <v>0</v>
      </c>
      <c r="G182" s="178">
        <v>0</v>
      </c>
      <c r="H182" s="178">
        <v>0</v>
      </c>
      <c r="I182" s="178">
        <v>0</v>
      </c>
      <c r="J182" s="178">
        <v>0</v>
      </c>
      <c r="K182" s="178">
        <v>0</v>
      </c>
      <c r="L182" s="178"/>
      <c r="M182" s="178"/>
      <c r="N182" s="178"/>
      <c r="O182" s="178"/>
      <c r="P182" s="178"/>
      <c r="Q182" s="155"/>
      <c r="R182" s="155"/>
      <c r="S182" s="155"/>
      <c r="T182" s="155"/>
      <c r="U182" s="155"/>
      <c r="V182" s="155"/>
      <c r="W182" s="155"/>
      <c r="X182" s="155"/>
      <c r="Y182" s="155"/>
      <c r="Z182" s="155"/>
      <c r="AA182" s="155"/>
      <c r="AB182" s="155"/>
      <c r="AC182" s="155"/>
      <c r="AD182" s="155"/>
      <c r="AE182" s="155"/>
      <c r="AF182" s="155"/>
      <c r="AG182" s="155"/>
      <c r="AH182" s="155"/>
      <c r="AI182" s="155"/>
      <c r="AJ182" s="155"/>
      <c r="AK182" s="155"/>
      <c r="AL182" s="156"/>
      <c r="AM182" s="156"/>
      <c r="AN182" s="156"/>
      <c r="AO182" s="156"/>
      <c r="AP182" s="155"/>
      <c r="AQ182" s="155"/>
      <c r="AR182" s="155"/>
      <c r="AS182" s="155"/>
      <c r="AT182" s="155"/>
      <c r="AU182" s="155"/>
      <c r="AV182" s="155"/>
      <c r="AW182" s="155"/>
      <c r="AX182" s="155"/>
      <c r="AY182" s="155"/>
      <c r="AZ182" s="155"/>
      <c r="BA182" s="155"/>
      <c r="BB182" s="155"/>
      <c r="BC182" s="155"/>
      <c r="BD182" s="155"/>
      <c r="BE182" s="155"/>
      <c r="BF182" s="155"/>
      <c r="BG182" s="155"/>
      <c r="BH182" s="155"/>
      <c r="BI182" s="155"/>
      <c r="BJ182" s="155"/>
      <c r="BK182" s="155"/>
      <c r="BL182" s="155"/>
      <c r="BM182" s="155"/>
      <c r="BN182" s="155"/>
      <c r="BO182" s="155"/>
      <c r="BP182" s="155"/>
      <c r="BQ182" s="155"/>
      <c r="BR182" s="155"/>
      <c r="BS182" s="155"/>
      <c r="BT182" s="155"/>
      <c r="BU182" s="155"/>
      <c r="BV182" s="155"/>
      <c r="BW182" s="155"/>
      <c r="BX182" s="155"/>
      <c r="BY182" s="155"/>
      <c r="BZ182" s="155"/>
      <c r="CA182" s="155"/>
      <c r="CB182" s="155"/>
      <c r="CC182" s="155"/>
      <c r="CD182" s="155"/>
      <c r="CE182" s="155"/>
      <c r="CF182" s="155"/>
      <c r="CG182" s="155"/>
      <c r="CH182" s="155"/>
      <c r="CI182" s="155"/>
      <c r="CJ182" s="155"/>
      <c r="CK182" s="155"/>
      <c r="CL182" s="155"/>
      <c r="CM182" s="155"/>
      <c r="CN182" s="155"/>
      <c r="CO182" s="155"/>
      <c r="CP182" s="155"/>
      <c r="CQ182" s="155"/>
      <c r="CR182" s="155"/>
    </row>
    <row r="183" spans="1:96" x14ac:dyDescent="0.25">
      <c r="A183" s="179">
        <v>57</v>
      </c>
      <c r="B183" s="180" t="s">
        <v>334</v>
      </c>
      <c r="C183" s="181">
        <v>57</v>
      </c>
      <c r="D183" s="182" t="s">
        <v>117</v>
      </c>
      <c r="E183" s="183">
        <v>0</v>
      </c>
      <c r="F183" s="183">
        <v>0</v>
      </c>
      <c r="G183" s="183">
        <v>0</v>
      </c>
      <c r="H183" s="183">
        <v>0</v>
      </c>
      <c r="I183" s="183">
        <v>0</v>
      </c>
      <c r="J183" s="183">
        <v>0</v>
      </c>
      <c r="K183" s="183">
        <v>0</v>
      </c>
      <c r="L183" s="183"/>
      <c r="M183" s="183"/>
      <c r="N183" s="183"/>
      <c r="O183" s="183"/>
      <c r="P183" s="183"/>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55"/>
      <c r="AL183" s="156"/>
      <c r="AM183" s="156"/>
      <c r="AN183" s="156"/>
      <c r="AO183" s="156"/>
      <c r="AP183" s="155"/>
      <c r="AQ183" s="155"/>
      <c r="AR183" s="155"/>
      <c r="AS183" s="155"/>
      <c r="AT183" s="155"/>
      <c r="AU183" s="155"/>
      <c r="AV183" s="155"/>
      <c r="AW183" s="155"/>
      <c r="AX183" s="155"/>
      <c r="AY183" s="155"/>
      <c r="AZ183" s="155"/>
      <c r="BA183" s="155"/>
      <c r="BB183" s="155"/>
      <c r="BC183" s="155"/>
      <c r="BD183" s="155"/>
      <c r="BE183" s="155"/>
      <c r="BF183" s="155"/>
      <c r="BG183" s="155"/>
      <c r="BH183" s="155"/>
      <c r="BI183" s="155"/>
      <c r="BJ183" s="155"/>
      <c r="BK183" s="155"/>
      <c r="BL183" s="155"/>
      <c r="BM183" s="155"/>
      <c r="BN183" s="155"/>
      <c r="BO183" s="155"/>
      <c r="BP183" s="155"/>
      <c r="BQ183" s="155"/>
      <c r="BR183" s="155"/>
      <c r="BS183" s="155"/>
      <c r="BT183" s="155"/>
      <c r="BU183" s="155"/>
      <c r="BV183" s="155"/>
      <c r="BW183" s="155"/>
      <c r="BX183" s="155"/>
      <c r="BY183" s="155"/>
      <c r="BZ183" s="155"/>
      <c r="CA183" s="155"/>
      <c r="CB183" s="155"/>
      <c r="CC183" s="155"/>
      <c r="CD183" s="155"/>
      <c r="CE183" s="155"/>
      <c r="CF183" s="155"/>
      <c r="CG183" s="155"/>
      <c r="CH183" s="155"/>
      <c r="CI183" s="155"/>
      <c r="CJ183" s="155"/>
      <c r="CK183" s="155"/>
      <c r="CL183" s="155"/>
      <c r="CM183" s="155"/>
      <c r="CN183" s="155"/>
      <c r="CO183" s="155"/>
      <c r="CP183" s="155"/>
      <c r="CQ183" s="155"/>
      <c r="CR183" s="155"/>
    </row>
    <row r="184" spans="1:96" x14ac:dyDescent="0.25">
      <c r="A184" s="174">
        <v>58</v>
      </c>
      <c r="B184" s="175" t="s">
        <v>334</v>
      </c>
      <c r="C184" s="176">
        <v>58</v>
      </c>
      <c r="D184" s="177" t="s">
        <v>118</v>
      </c>
      <c r="E184" s="178">
        <v>5</v>
      </c>
      <c r="F184" s="178">
        <v>0</v>
      </c>
      <c r="G184" s="178">
        <v>5</v>
      </c>
      <c r="H184" s="178">
        <v>0.5</v>
      </c>
      <c r="I184" s="178">
        <v>0.5</v>
      </c>
      <c r="J184" s="178">
        <v>8</v>
      </c>
      <c r="K184" s="178">
        <v>6</v>
      </c>
      <c r="L184" s="178"/>
      <c r="M184" s="178"/>
      <c r="N184" s="178"/>
      <c r="O184" s="178"/>
      <c r="P184" s="178"/>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55"/>
      <c r="AL184" s="156"/>
      <c r="AM184" s="156"/>
      <c r="AN184" s="156"/>
      <c r="AO184" s="156"/>
      <c r="AP184" s="155"/>
      <c r="AQ184" s="155"/>
      <c r="AR184" s="155"/>
      <c r="AS184" s="155"/>
      <c r="AT184" s="155"/>
      <c r="AU184" s="155"/>
      <c r="AV184" s="155"/>
      <c r="AW184" s="155"/>
      <c r="AX184" s="155"/>
      <c r="AY184" s="155"/>
      <c r="AZ184" s="155"/>
      <c r="BA184" s="155"/>
      <c r="BB184" s="155"/>
      <c r="BC184" s="155"/>
      <c r="BD184" s="155"/>
      <c r="BE184" s="155"/>
      <c r="BF184" s="155"/>
      <c r="BG184" s="155"/>
      <c r="BH184" s="155"/>
      <c r="BI184" s="155"/>
      <c r="BJ184" s="155"/>
      <c r="BK184" s="155"/>
      <c r="BL184" s="155"/>
      <c r="BM184" s="155"/>
      <c r="BN184" s="155"/>
      <c r="BO184" s="155"/>
      <c r="BP184" s="155"/>
      <c r="BQ184" s="155"/>
      <c r="BR184" s="155"/>
      <c r="BS184" s="155"/>
      <c r="BT184" s="155"/>
      <c r="BU184" s="155"/>
      <c r="BV184" s="155"/>
      <c r="BW184" s="155"/>
      <c r="BX184" s="155"/>
      <c r="BY184" s="155"/>
      <c r="BZ184" s="155"/>
      <c r="CA184" s="155"/>
      <c r="CB184" s="155"/>
      <c r="CC184" s="155"/>
      <c r="CD184" s="155"/>
      <c r="CE184" s="155"/>
      <c r="CF184" s="155"/>
      <c r="CG184" s="155"/>
      <c r="CH184" s="155"/>
      <c r="CI184" s="155"/>
      <c r="CJ184" s="155"/>
      <c r="CK184" s="155"/>
      <c r="CL184" s="155"/>
      <c r="CM184" s="155"/>
      <c r="CN184" s="155"/>
      <c r="CO184" s="155"/>
      <c r="CP184" s="155"/>
      <c r="CQ184" s="155"/>
      <c r="CR184" s="155"/>
    </row>
    <row r="185" spans="1:96" x14ac:dyDescent="0.25">
      <c r="A185" s="179">
        <v>59</v>
      </c>
      <c r="B185" s="180" t="s">
        <v>333</v>
      </c>
      <c r="C185" s="181">
        <v>59</v>
      </c>
      <c r="D185" s="182" t="s">
        <v>119</v>
      </c>
      <c r="E185" s="183">
        <v>0</v>
      </c>
      <c r="F185" s="183">
        <v>0</v>
      </c>
      <c r="G185" s="183">
        <v>0</v>
      </c>
      <c r="H185" s="183">
        <v>0</v>
      </c>
      <c r="I185" s="183">
        <v>0</v>
      </c>
      <c r="J185" s="183">
        <v>0</v>
      </c>
      <c r="K185" s="183">
        <v>0</v>
      </c>
      <c r="L185" s="183"/>
      <c r="M185" s="183"/>
      <c r="N185" s="183"/>
      <c r="O185" s="183"/>
      <c r="P185" s="183"/>
      <c r="Q185" s="155"/>
      <c r="R185" s="155"/>
      <c r="S185" s="155"/>
      <c r="T185" s="155"/>
      <c r="U185" s="155"/>
      <c r="V185" s="155"/>
      <c r="W185" s="155"/>
      <c r="X185" s="155"/>
      <c r="Y185" s="155"/>
      <c r="Z185" s="155"/>
      <c r="AA185" s="155"/>
      <c r="AB185" s="155"/>
      <c r="AC185" s="155"/>
      <c r="AD185" s="155"/>
      <c r="AE185" s="155"/>
      <c r="AF185" s="155"/>
      <c r="AG185" s="155"/>
      <c r="AH185" s="155"/>
      <c r="AI185" s="155"/>
      <c r="AJ185" s="155"/>
      <c r="AK185" s="155"/>
      <c r="AL185" s="156"/>
      <c r="AM185" s="156"/>
      <c r="AN185" s="156"/>
      <c r="AO185" s="156"/>
      <c r="AP185" s="155"/>
      <c r="AQ185" s="155"/>
      <c r="AR185" s="155"/>
      <c r="AS185" s="155"/>
      <c r="AT185" s="155"/>
      <c r="AU185" s="155"/>
      <c r="AV185" s="155"/>
      <c r="AW185" s="155"/>
      <c r="AX185" s="155"/>
      <c r="AY185" s="155"/>
      <c r="AZ185" s="155"/>
      <c r="BA185" s="155"/>
      <c r="BB185" s="155"/>
      <c r="BC185" s="155"/>
      <c r="BD185" s="155"/>
      <c r="BE185" s="155"/>
      <c r="BF185" s="155"/>
      <c r="BG185" s="155"/>
      <c r="BH185" s="155"/>
      <c r="BI185" s="155"/>
      <c r="BJ185" s="155"/>
      <c r="BK185" s="155"/>
      <c r="BL185" s="155"/>
      <c r="BM185" s="155"/>
      <c r="BN185" s="155"/>
      <c r="BO185" s="155"/>
      <c r="BP185" s="155"/>
      <c r="BQ185" s="155"/>
      <c r="BR185" s="155"/>
      <c r="BS185" s="155"/>
      <c r="BT185" s="155"/>
      <c r="BU185" s="155"/>
      <c r="BV185" s="155"/>
      <c r="BW185" s="155"/>
      <c r="BX185" s="155"/>
      <c r="BY185" s="155"/>
      <c r="BZ185" s="155"/>
      <c r="CA185" s="155"/>
      <c r="CB185" s="155"/>
      <c r="CC185" s="155"/>
      <c r="CD185" s="155"/>
      <c r="CE185" s="155"/>
      <c r="CF185" s="155"/>
      <c r="CG185" s="155"/>
      <c r="CH185" s="155"/>
      <c r="CI185" s="155"/>
      <c r="CJ185" s="155"/>
      <c r="CK185" s="155"/>
      <c r="CL185" s="155"/>
      <c r="CM185" s="155"/>
      <c r="CN185" s="155"/>
      <c r="CO185" s="155"/>
      <c r="CP185" s="155"/>
      <c r="CQ185" s="155"/>
      <c r="CR185" s="155"/>
    </row>
    <row r="186" spans="1:96" x14ac:dyDescent="0.25">
      <c r="A186" s="174">
        <v>60</v>
      </c>
      <c r="B186" s="175" t="s">
        <v>333</v>
      </c>
      <c r="C186" s="176">
        <v>60</v>
      </c>
      <c r="D186" s="177" t="s">
        <v>163</v>
      </c>
      <c r="E186" s="178">
        <v>25.5</v>
      </c>
      <c r="F186" s="178">
        <v>10</v>
      </c>
      <c r="G186" s="178">
        <v>8</v>
      </c>
      <c r="H186" s="178">
        <v>0.5</v>
      </c>
      <c r="I186" s="178">
        <v>0</v>
      </c>
      <c r="J186" s="178">
        <v>6</v>
      </c>
      <c r="K186" s="178">
        <v>2</v>
      </c>
      <c r="L186" s="178"/>
      <c r="M186" s="178"/>
      <c r="N186" s="178"/>
      <c r="O186" s="178"/>
      <c r="P186" s="178"/>
      <c r="Q186" s="155"/>
      <c r="R186" s="155"/>
      <c r="S186" s="155"/>
      <c r="T186" s="155"/>
      <c r="U186" s="155"/>
      <c r="V186" s="155"/>
      <c r="W186" s="155"/>
      <c r="X186" s="155"/>
      <c r="Y186" s="155"/>
      <c r="Z186" s="155"/>
      <c r="AA186" s="155"/>
      <c r="AB186" s="155"/>
      <c r="AC186" s="155"/>
      <c r="AD186" s="155"/>
      <c r="AE186" s="155"/>
      <c r="AF186" s="155"/>
      <c r="AG186" s="155"/>
      <c r="AH186" s="155"/>
      <c r="AI186" s="155"/>
      <c r="AJ186" s="155"/>
      <c r="AK186" s="155"/>
      <c r="AL186" s="156"/>
      <c r="AM186" s="156"/>
      <c r="AN186" s="156"/>
      <c r="AO186" s="156"/>
      <c r="AP186" s="155"/>
      <c r="AQ186" s="155"/>
      <c r="AR186" s="155"/>
      <c r="AS186" s="155"/>
      <c r="AT186" s="155"/>
      <c r="AU186" s="155"/>
      <c r="AV186" s="155"/>
      <c r="AW186" s="155"/>
      <c r="AX186" s="155"/>
      <c r="AY186" s="155"/>
      <c r="AZ186" s="155"/>
      <c r="BA186" s="155"/>
      <c r="BB186" s="155"/>
      <c r="BC186" s="155"/>
      <c r="BD186" s="155"/>
      <c r="BE186" s="155"/>
      <c r="BF186" s="155"/>
      <c r="BG186" s="155"/>
      <c r="BH186" s="155"/>
      <c r="BI186" s="155"/>
      <c r="BJ186" s="155"/>
      <c r="BK186" s="155"/>
      <c r="BL186" s="155"/>
      <c r="BM186" s="155"/>
      <c r="BN186" s="155"/>
      <c r="BO186" s="155"/>
      <c r="BP186" s="155"/>
      <c r="BQ186" s="155"/>
      <c r="BR186" s="155"/>
      <c r="BS186" s="155"/>
      <c r="BT186" s="155"/>
      <c r="BU186" s="155"/>
      <c r="BV186" s="155"/>
      <c r="BW186" s="155"/>
      <c r="BX186" s="155"/>
      <c r="BY186" s="155"/>
      <c r="BZ186" s="155"/>
      <c r="CA186" s="155"/>
      <c r="CB186" s="155"/>
      <c r="CC186" s="155"/>
      <c r="CD186" s="155"/>
      <c r="CE186" s="155"/>
      <c r="CF186" s="155"/>
      <c r="CG186" s="155"/>
      <c r="CH186" s="155"/>
      <c r="CI186" s="155"/>
      <c r="CJ186" s="155"/>
      <c r="CK186" s="155"/>
      <c r="CL186" s="155"/>
      <c r="CM186" s="155"/>
      <c r="CN186" s="155"/>
      <c r="CO186" s="155"/>
      <c r="CP186" s="155"/>
      <c r="CQ186" s="155"/>
      <c r="CR186" s="155"/>
    </row>
    <row r="187" spans="1:96" x14ac:dyDescent="0.25">
      <c r="A187" s="179">
        <v>61</v>
      </c>
      <c r="B187" s="180" t="s">
        <v>333</v>
      </c>
      <c r="C187" s="181">
        <v>61</v>
      </c>
      <c r="D187" s="182" t="s">
        <v>164</v>
      </c>
      <c r="E187" s="183">
        <v>6</v>
      </c>
      <c r="F187" s="183">
        <v>1.5</v>
      </c>
      <c r="G187" s="183">
        <v>0</v>
      </c>
      <c r="H187" s="183">
        <v>0</v>
      </c>
      <c r="I187" s="183">
        <v>0</v>
      </c>
      <c r="J187" s="183">
        <v>4</v>
      </c>
      <c r="K187" s="183">
        <v>2</v>
      </c>
      <c r="L187" s="183"/>
      <c r="M187" s="183"/>
      <c r="N187" s="183"/>
      <c r="O187" s="183"/>
      <c r="P187" s="183"/>
      <c r="Q187" s="155"/>
      <c r="R187" s="155"/>
      <c r="S187" s="155"/>
      <c r="T187" s="155"/>
      <c r="U187" s="155"/>
      <c r="V187" s="155"/>
      <c r="W187" s="155"/>
      <c r="X187" s="155"/>
      <c r="Y187" s="155"/>
      <c r="Z187" s="155"/>
      <c r="AA187" s="155"/>
      <c r="AB187" s="155"/>
      <c r="AC187" s="155"/>
      <c r="AD187" s="155"/>
      <c r="AE187" s="155"/>
      <c r="AF187" s="155"/>
      <c r="AG187" s="155"/>
      <c r="AH187" s="155"/>
      <c r="AI187" s="155"/>
      <c r="AJ187" s="155"/>
      <c r="AK187" s="155"/>
      <c r="AL187" s="156"/>
      <c r="AM187" s="156"/>
      <c r="AN187" s="156"/>
      <c r="AO187" s="156"/>
      <c r="AP187" s="155"/>
      <c r="AQ187" s="155"/>
      <c r="AR187" s="155"/>
      <c r="AS187" s="155"/>
      <c r="AT187" s="155"/>
      <c r="AU187" s="155"/>
      <c r="AV187" s="155"/>
      <c r="AW187" s="155"/>
      <c r="AX187" s="155"/>
      <c r="AY187" s="155"/>
      <c r="AZ187" s="155"/>
      <c r="BA187" s="155"/>
      <c r="BB187" s="155"/>
      <c r="BC187" s="155"/>
      <c r="BD187" s="155"/>
      <c r="BE187" s="155"/>
      <c r="BF187" s="155"/>
      <c r="BG187" s="155"/>
      <c r="BH187" s="155"/>
      <c r="BI187" s="155"/>
      <c r="BJ187" s="155"/>
      <c r="BK187" s="155"/>
      <c r="BL187" s="155"/>
      <c r="BM187" s="155"/>
      <c r="BN187" s="155"/>
      <c r="BO187" s="155"/>
      <c r="BP187" s="155"/>
      <c r="BQ187" s="155"/>
      <c r="BR187" s="155"/>
      <c r="BS187" s="155"/>
      <c r="BT187" s="155"/>
      <c r="BU187" s="155"/>
      <c r="BV187" s="155"/>
      <c r="BW187" s="155"/>
      <c r="BX187" s="155"/>
      <c r="BY187" s="155"/>
      <c r="BZ187" s="155"/>
      <c r="CA187" s="155"/>
      <c r="CB187" s="155"/>
      <c r="CC187" s="155"/>
      <c r="CD187" s="155"/>
      <c r="CE187" s="155"/>
      <c r="CF187" s="155"/>
      <c r="CG187" s="155"/>
      <c r="CH187" s="155"/>
      <c r="CI187" s="155"/>
      <c r="CJ187" s="155"/>
      <c r="CK187" s="155"/>
      <c r="CL187" s="155"/>
      <c r="CM187" s="155"/>
      <c r="CN187" s="155"/>
      <c r="CO187" s="155"/>
      <c r="CP187" s="155"/>
      <c r="CQ187" s="155"/>
      <c r="CR187" s="155"/>
    </row>
    <row r="188" spans="1:96" x14ac:dyDescent="0.25">
      <c r="A188" s="174">
        <v>62</v>
      </c>
      <c r="B188" s="175" t="s">
        <v>334</v>
      </c>
      <c r="C188" s="176">
        <v>62</v>
      </c>
      <c r="D188" s="177" t="s">
        <v>162</v>
      </c>
      <c r="E188" s="178">
        <v>0</v>
      </c>
      <c r="F188" s="178">
        <v>0</v>
      </c>
      <c r="G188" s="178">
        <v>0</v>
      </c>
      <c r="H188" s="178">
        <v>0</v>
      </c>
      <c r="I188" s="178">
        <v>0</v>
      </c>
      <c r="J188" s="178">
        <v>1</v>
      </c>
      <c r="K188" s="178">
        <v>0</v>
      </c>
      <c r="L188" s="178"/>
      <c r="M188" s="178"/>
      <c r="N188" s="178"/>
      <c r="O188" s="178"/>
      <c r="P188" s="178"/>
      <c r="Q188" s="155"/>
      <c r="R188" s="155"/>
      <c r="S188" s="155"/>
      <c r="T188" s="155"/>
      <c r="U188" s="155"/>
      <c r="V188" s="155"/>
      <c r="W188" s="155"/>
      <c r="X188" s="155"/>
      <c r="Y188" s="155"/>
      <c r="Z188" s="155"/>
      <c r="AA188" s="155"/>
      <c r="AB188" s="155"/>
      <c r="AC188" s="155"/>
      <c r="AD188" s="155"/>
      <c r="AE188" s="155"/>
      <c r="AF188" s="155"/>
      <c r="AG188" s="155"/>
      <c r="AH188" s="155"/>
      <c r="AI188" s="155"/>
      <c r="AJ188" s="155"/>
      <c r="AK188" s="155"/>
      <c r="AL188" s="156"/>
      <c r="AM188" s="156"/>
      <c r="AN188" s="156"/>
      <c r="AO188" s="156"/>
      <c r="AP188" s="155"/>
      <c r="AQ188" s="155"/>
      <c r="AR188" s="155"/>
      <c r="AS188" s="155"/>
      <c r="AT188" s="155"/>
      <c r="AU188" s="155"/>
      <c r="AV188" s="155"/>
      <c r="AW188" s="155"/>
      <c r="AX188" s="155"/>
      <c r="AY188" s="155"/>
      <c r="AZ188" s="155"/>
      <c r="BA188" s="155"/>
      <c r="BB188" s="155"/>
      <c r="BC188" s="155"/>
      <c r="BD188" s="155"/>
      <c r="BE188" s="155"/>
      <c r="BF188" s="155"/>
      <c r="BG188" s="155"/>
      <c r="BH188" s="155"/>
      <c r="BI188" s="155"/>
      <c r="BJ188" s="155"/>
      <c r="BK188" s="155"/>
      <c r="BL188" s="155"/>
      <c r="BM188" s="155"/>
      <c r="BN188" s="155"/>
      <c r="BO188" s="155"/>
      <c r="BP188" s="155"/>
      <c r="BQ188" s="155"/>
      <c r="BR188" s="155"/>
      <c r="BS188" s="155"/>
      <c r="BT188" s="155"/>
      <c r="BU188" s="155"/>
      <c r="BV188" s="155"/>
      <c r="BW188" s="155"/>
      <c r="BX188" s="155"/>
      <c r="BY188" s="155"/>
      <c r="BZ188" s="155"/>
      <c r="CA188" s="155"/>
      <c r="CB188" s="155"/>
      <c r="CC188" s="155"/>
      <c r="CD188" s="155"/>
      <c r="CE188" s="155"/>
      <c r="CF188" s="155"/>
      <c r="CG188" s="155"/>
      <c r="CH188" s="155"/>
      <c r="CI188" s="155"/>
      <c r="CJ188" s="155"/>
      <c r="CK188" s="155"/>
      <c r="CL188" s="155"/>
      <c r="CM188" s="155"/>
      <c r="CN188" s="155"/>
      <c r="CO188" s="155"/>
      <c r="CP188" s="155"/>
      <c r="CQ188" s="155"/>
      <c r="CR188" s="155"/>
    </row>
    <row r="189" spans="1:96" x14ac:dyDescent="0.25">
      <c r="A189" s="179">
        <v>63</v>
      </c>
      <c r="B189" s="180" t="s">
        <v>339</v>
      </c>
      <c r="C189" s="181">
        <v>63</v>
      </c>
      <c r="D189" s="182" t="s">
        <v>120</v>
      </c>
      <c r="E189" s="183">
        <v>0</v>
      </c>
      <c r="F189" s="183">
        <v>0</v>
      </c>
      <c r="G189" s="183">
        <v>0</v>
      </c>
      <c r="H189" s="183">
        <v>0</v>
      </c>
      <c r="I189" s="183">
        <v>0</v>
      </c>
      <c r="J189" s="183">
        <v>0</v>
      </c>
      <c r="K189" s="183">
        <v>0</v>
      </c>
      <c r="L189" s="183"/>
      <c r="M189" s="183"/>
      <c r="N189" s="183"/>
      <c r="O189" s="183"/>
      <c r="P189" s="183"/>
      <c r="Q189" s="155"/>
      <c r="R189" s="155"/>
      <c r="S189" s="155"/>
      <c r="T189" s="155"/>
      <c r="U189" s="155"/>
      <c r="V189" s="155"/>
      <c r="W189" s="155"/>
      <c r="X189" s="155"/>
      <c r="Y189" s="155"/>
      <c r="Z189" s="155"/>
      <c r="AA189" s="155"/>
      <c r="AB189" s="155"/>
      <c r="AC189" s="155"/>
      <c r="AD189" s="155"/>
      <c r="AE189" s="155"/>
      <c r="AF189" s="155"/>
      <c r="AG189" s="155"/>
      <c r="AH189" s="155"/>
      <c r="AI189" s="155"/>
      <c r="AJ189" s="155"/>
      <c r="AK189" s="155"/>
      <c r="AL189" s="156"/>
      <c r="AM189" s="156"/>
      <c r="AN189" s="156"/>
      <c r="AO189" s="156"/>
      <c r="AP189" s="155"/>
      <c r="AQ189" s="155"/>
      <c r="AR189" s="155"/>
      <c r="AS189" s="155"/>
      <c r="AT189" s="155"/>
      <c r="AU189" s="155"/>
      <c r="AV189" s="155"/>
      <c r="AW189" s="155"/>
      <c r="AX189" s="155"/>
      <c r="AY189" s="155"/>
      <c r="AZ189" s="155"/>
      <c r="BA189" s="155"/>
      <c r="BB189" s="155"/>
      <c r="BC189" s="155"/>
      <c r="BD189" s="155"/>
      <c r="BE189" s="155"/>
      <c r="BF189" s="155"/>
      <c r="BG189" s="155"/>
      <c r="BH189" s="155"/>
      <c r="BI189" s="155"/>
      <c r="BJ189" s="155"/>
      <c r="BK189" s="155"/>
      <c r="BL189" s="155"/>
      <c r="BM189" s="155"/>
      <c r="BN189" s="155"/>
      <c r="BO189" s="155"/>
      <c r="BP189" s="155"/>
      <c r="BQ189" s="155"/>
      <c r="BR189" s="155"/>
      <c r="BS189" s="155"/>
      <c r="BT189" s="155"/>
      <c r="BU189" s="155"/>
      <c r="BV189" s="155"/>
      <c r="BW189" s="155"/>
      <c r="BX189" s="155"/>
      <c r="BY189" s="155"/>
      <c r="BZ189" s="155"/>
      <c r="CA189" s="155"/>
      <c r="CB189" s="155"/>
      <c r="CC189" s="155"/>
      <c r="CD189" s="155"/>
      <c r="CE189" s="155"/>
      <c r="CF189" s="155"/>
      <c r="CG189" s="155"/>
      <c r="CH189" s="155"/>
      <c r="CI189" s="155"/>
      <c r="CJ189" s="155"/>
      <c r="CK189" s="155"/>
      <c r="CL189" s="155"/>
      <c r="CM189" s="155"/>
      <c r="CN189" s="155"/>
      <c r="CO189" s="155"/>
      <c r="CP189" s="155"/>
      <c r="CQ189" s="155"/>
      <c r="CR189" s="155"/>
    </row>
    <row r="190" spans="1:96" x14ac:dyDescent="0.25">
      <c r="A190" s="174">
        <v>64</v>
      </c>
      <c r="B190" s="175" t="s">
        <v>339</v>
      </c>
      <c r="C190" s="176">
        <v>64</v>
      </c>
      <c r="D190" s="177" t="s">
        <v>166</v>
      </c>
      <c r="E190" s="178">
        <v>9</v>
      </c>
      <c r="F190" s="178">
        <v>3</v>
      </c>
      <c r="G190" s="178">
        <v>4</v>
      </c>
      <c r="H190" s="178">
        <v>5.5</v>
      </c>
      <c r="I190" s="178">
        <v>1.5</v>
      </c>
      <c r="J190" s="178">
        <v>2</v>
      </c>
      <c r="K190" s="178">
        <v>6</v>
      </c>
      <c r="L190" s="178"/>
      <c r="M190" s="178"/>
      <c r="N190" s="178"/>
      <c r="O190" s="178"/>
      <c r="P190" s="178"/>
      <c r="Q190" s="155"/>
      <c r="R190" s="155"/>
      <c r="S190" s="155"/>
      <c r="T190" s="155"/>
      <c r="U190" s="155"/>
      <c r="V190" s="155"/>
      <c r="W190" s="155"/>
      <c r="X190" s="155"/>
      <c r="Y190" s="155"/>
      <c r="Z190" s="155"/>
      <c r="AA190" s="155"/>
      <c r="AB190" s="155"/>
      <c r="AC190" s="155"/>
      <c r="AD190" s="155"/>
      <c r="AE190" s="155"/>
      <c r="AF190" s="155"/>
      <c r="AG190" s="155"/>
      <c r="AH190" s="155"/>
      <c r="AI190" s="155"/>
      <c r="AJ190" s="155"/>
      <c r="AK190" s="155"/>
      <c r="AL190" s="156"/>
      <c r="AM190" s="156"/>
      <c r="AN190" s="156"/>
      <c r="AO190" s="156"/>
      <c r="AP190" s="155"/>
      <c r="AQ190" s="155"/>
      <c r="AR190" s="155"/>
      <c r="AS190" s="155"/>
      <c r="AT190" s="155"/>
      <c r="AU190" s="155"/>
      <c r="AV190" s="155"/>
      <c r="AW190" s="155"/>
      <c r="AX190" s="155"/>
      <c r="AY190" s="155"/>
      <c r="AZ190" s="155"/>
      <c r="BA190" s="155"/>
      <c r="BB190" s="155"/>
      <c r="BC190" s="155"/>
      <c r="BD190" s="155"/>
      <c r="BE190" s="155"/>
      <c r="BF190" s="155"/>
      <c r="BG190" s="155"/>
      <c r="BH190" s="155"/>
      <c r="BI190" s="155"/>
      <c r="BJ190" s="155"/>
      <c r="BK190" s="155"/>
      <c r="BL190" s="155"/>
      <c r="BM190" s="155"/>
      <c r="BN190" s="155"/>
      <c r="BO190" s="155"/>
      <c r="BP190" s="155"/>
      <c r="BQ190" s="155"/>
      <c r="BR190" s="155"/>
      <c r="BS190" s="155"/>
      <c r="BT190" s="155"/>
      <c r="BU190" s="155"/>
      <c r="BV190" s="155"/>
      <c r="BW190" s="155"/>
      <c r="BX190" s="155"/>
      <c r="BY190" s="155"/>
      <c r="BZ190" s="155"/>
      <c r="CA190" s="155"/>
      <c r="CB190" s="155"/>
      <c r="CC190" s="155"/>
      <c r="CD190" s="155"/>
      <c r="CE190" s="155"/>
      <c r="CF190" s="155"/>
      <c r="CG190" s="155"/>
      <c r="CH190" s="155"/>
      <c r="CI190" s="155"/>
      <c r="CJ190" s="155"/>
      <c r="CK190" s="155"/>
      <c r="CL190" s="155"/>
      <c r="CM190" s="155"/>
      <c r="CN190" s="155"/>
      <c r="CO190" s="155"/>
      <c r="CP190" s="155"/>
      <c r="CQ190" s="155"/>
      <c r="CR190" s="155"/>
    </row>
    <row r="191" spans="1:96" x14ac:dyDescent="0.25">
      <c r="A191" s="179">
        <v>65</v>
      </c>
      <c r="B191" s="180" t="s">
        <v>339</v>
      </c>
      <c r="C191" s="181">
        <v>65</v>
      </c>
      <c r="D191" s="182" t="s">
        <v>167</v>
      </c>
      <c r="E191" s="183">
        <v>14</v>
      </c>
      <c r="F191" s="183">
        <v>5</v>
      </c>
      <c r="G191" s="183">
        <v>0</v>
      </c>
      <c r="H191" s="183">
        <v>0</v>
      </c>
      <c r="I191" s="183">
        <v>0</v>
      </c>
      <c r="J191" s="183">
        <v>8.5</v>
      </c>
      <c r="K191" s="183">
        <v>14.5</v>
      </c>
      <c r="L191" s="183"/>
      <c r="M191" s="183"/>
      <c r="N191" s="183"/>
      <c r="O191" s="183"/>
      <c r="P191" s="183"/>
      <c r="Q191" s="155"/>
      <c r="R191" s="155"/>
      <c r="S191" s="155"/>
      <c r="T191" s="155"/>
      <c r="U191" s="155"/>
      <c r="V191" s="155"/>
      <c r="W191" s="155"/>
      <c r="X191" s="155"/>
      <c r="Y191" s="155"/>
      <c r="Z191" s="155"/>
      <c r="AA191" s="155"/>
      <c r="AB191" s="155"/>
      <c r="AC191" s="155"/>
      <c r="AD191" s="155"/>
      <c r="AE191" s="155"/>
      <c r="AF191" s="155"/>
      <c r="AG191" s="155"/>
      <c r="AH191" s="155"/>
      <c r="AI191" s="155"/>
      <c r="AJ191" s="155"/>
      <c r="AK191" s="155"/>
      <c r="AL191" s="156"/>
      <c r="AM191" s="156"/>
      <c r="AN191" s="156"/>
      <c r="AO191" s="156"/>
      <c r="AP191" s="155"/>
      <c r="AQ191" s="155"/>
      <c r="AR191" s="155"/>
      <c r="AS191" s="155"/>
      <c r="AT191" s="155"/>
      <c r="AU191" s="155"/>
      <c r="AV191" s="155"/>
      <c r="AW191" s="155"/>
      <c r="AX191" s="155"/>
      <c r="AY191" s="155"/>
      <c r="AZ191" s="155"/>
      <c r="BA191" s="155"/>
      <c r="BB191" s="155"/>
      <c r="BC191" s="155"/>
      <c r="BD191" s="155"/>
      <c r="BE191" s="155"/>
      <c r="BF191" s="155"/>
      <c r="BG191" s="155"/>
      <c r="BH191" s="155"/>
      <c r="BI191" s="155"/>
      <c r="BJ191" s="155"/>
      <c r="BK191" s="155"/>
      <c r="BL191" s="155"/>
      <c r="BM191" s="155"/>
      <c r="BN191" s="155"/>
      <c r="BO191" s="155"/>
      <c r="BP191" s="155"/>
      <c r="BQ191" s="155"/>
      <c r="BR191" s="155"/>
      <c r="BS191" s="155"/>
      <c r="BT191" s="155"/>
      <c r="BU191" s="155"/>
      <c r="BV191" s="155"/>
      <c r="BW191" s="155"/>
      <c r="BX191" s="155"/>
      <c r="BY191" s="155"/>
      <c r="BZ191" s="155"/>
      <c r="CA191" s="155"/>
      <c r="CB191" s="155"/>
      <c r="CC191" s="155"/>
      <c r="CD191" s="155"/>
      <c r="CE191" s="155"/>
      <c r="CF191" s="155"/>
      <c r="CG191" s="155"/>
      <c r="CH191" s="155"/>
      <c r="CI191" s="155"/>
      <c r="CJ191" s="155"/>
      <c r="CK191" s="155"/>
      <c r="CL191" s="155"/>
      <c r="CM191" s="155"/>
      <c r="CN191" s="155"/>
      <c r="CO191" s="155"/>
      <c r="CP191" s="155"/>
      <c r="CQ191" s="155"/>
      <c r="CR191" s="155"/>
    </row>
    <row r="192" spans="1:96" x14ac:dyDescent="0.25">
      <c r="A192" s="174">
        <v>66</v>
      </c>
      <c r="B192" s="175" t="s">
        <v>339</v>
      </c>
      <c r="C192" s="176">
        <v>66</v>
      </c>
      <c r="D192" s="177" t="s">
        <v>121</v>
      </c>
      <c r="E192" s="178">
        <v>0</v>
      </c>
      <c r="F192" s="178">
        <v>0</v>
      </c>
      <c r="G192" s="178">
        <v>0</v>
      </c>
      <c r="H192" s="178">
        <v>0</v>
      </c>
      <c r="I192" s="178">
        <v>0</v>
      </c>
      <c r="J192" s="178">
        <v>0</v>
      </c>
      <c r="K192" s="178">
        <v>0</v>
      </c>
      <c r="L192" s="178"/>
      <c r="M192" s="178"/>
      <c r="N192" s="178"/>
      <c r="O192" s="178"/>
      <c r="P192" s="178"/>
      <c r="Q192" s="155"/>
      <c r="R192" s="155"/>
      <c r="S192" s="155"/>
      <c r="T192" s="155"/>
      <c r="U192" s="155"/>
      <c r="V192" s="155"/>
      <c r="W192" s="155"/>
      <c r="X192" s="155"/>
      <c r="Y192" s="155"/>
      <c r="Z192" s="155"/>
      <c r="AA192" s="155"/>
      <c r="AB192" s="155"/>
      <c r="AC192" s="155"/>
      <c r="AD192" s="155"/>
      <c r="AE192" s="155"/>
      <c r="AF192" s="155"/>
      <c r="AG192" s="155"/>
      <c r="AH192" s="155"/>
      <c r="AI192" s="155"/>
      <c r="AJ192" s="155"/>
      <c r="AK192" s="155"/>
      <c r="AL192" s="156"/>
      <c r="AM192" s="156"/>
      <c r="AN192" s="156"/>
      <c r="AO192" s="156"/>
      <c r="AP192" s="155"/>
      <c r="AQ192" s="155"/>
      <c r="AR192" s="155"/>
      <c r="AS192" s="155"/>
      <c r="AT192" s="155"/>
      <c r="AU192" s="155"/>
      <c r="AV192" s="155"/>
      <c r="AW192" s="155"/>
      <c r="AX192" s="155"/>
      <c r="AY192" s="155"/>
      <c r="AZ192" s="155"/>
      <c r="BA192" s="155"/>
      <c r="BB192" s="155"/>
      <c r="BC192" s="155"/>
      <c r="BD192" s="155"/>
      <c r="BE192" s="155"/>
      <c r="BF192" s="155"/>
      <c r="BG192" s="155"/>
      <c r="BH192" s="155"/>
      <c r="BI192" s="155"/>
      <c r="BJ192" s="155"/>
      <c r="BK192" s="155"/>
      <c r="BL192" s="155"/>
      <c r="BM192" s="155"/>
      <c r="BN192" s="155"/>
      <c r="BO192" s="155"/>
      <c r="BP192" s="155"/>
      <c r="BQ192" s="155"/>
      <c r="BR192" s="155"/>
      <c r="BS192" s="155"/>
      <c r="BT192" s="155"/>
      <c r="BU192" s="155"/>
      <c r="BV192" s="155"/>
      <c r="BW192" s="155"/>
      <c r="BX192" s="155"/>
      <c r="BY192" s="155"/>
      <c r="BZ192" s="155"/>
      <c r="CA192" s="155"/>
      <c r="CB192" s="155"/>
      <c r="CC192" s="155"/>
      <c r="CD192" s="155"/>
      <c r="CE192" s="155"/>
      <c r="CF192" s="155"/>
      <c r="CG192" s="155"/>
      <c r="CH192" s="155"/>
      <c r="CI192" s="155"/>
      <c r="CJ192" s="155"/>
      <c r="CK192" s="155"/>
      <c r="CL192" s="155"/>
      <c r="CM192" s="155"/>
      <c r="CN192" s="155"/>
      <c r="CO192" s="155"/>
      <c r="CP192" s="155"/>
      <c r="CQ192" s="155"/>
      <c r="CR192" s="155"/>
    </row>
    <row r="193" spans="1:96" x14ac:dyDescent="0.25">
      <c r="A193" s="179">
        <v>67</v>
      </c>
      <c r="B193" s="180" t="s">
        <v>339</v>
      </c>
      <c r="C193" s="181">
        <v>67</v>
      </c>
      <c r="D193" s="182" t="s">
        <v>168</v>
      </c>
      <c r="E193" s="183">
        <v>2.5</v>
      </c>
      <c r="F193" s="183">
        <v>2</v>
      </c>
      <c r="G193" s="183">
        <v>0</v>
      </c>
      <c r="H193" s="183">
        <v>0</v>
      </c>
      <c r="I193" s="183">
        <v>0</v>
      </c>
      <c r="J193" s="183">
        <v>0</v>
      </c>
      <c r="K193" s="183">
        <v>0</v>
      </c>
      <c r="L193" s="183"/>
      <c r="M193" s="183"/>
      <c r="N193" s="183"/>
      <c r="O193" s="183"/>
      <c r="P193" s="183"/>
      <c r="Q193" s="155"/>
      <c r="R193" s="155"/>
      <c r="S193" s="155"/>
      <c r="T193" s="155"/>
      <c r="U193" s="155"/>
      <c r="V193" s="155"/>
      <c r="W193" s="155"/>
      <c r="X193" s="155"/>
      <c r="Y193" s="155"/>
      <c r="Z193" s="155"/>
      <c r="AA193" s="155"/>
      <c r="AB193" s="155"/>
      <c r="AC193" s="155"/>
      <c r="AD193" s="155"/>
      <c r="AE193" s="155"/>
      <c r="AF193" s="155"/>
      <c r="AG193" s="155"/>
      <c r="AH193" s="155"/>
      <c r="AI193" s="155"/>
      <c r="AJ193" s="155"/>
      <c r="AK193" s="155"/>
      <c r="AL193" s="156"/>
      <c r="AM193" s="156"/>
      <c r="AN193" s="156"/>
      <c r="AO193" s="156"/>
      <c r="AP193" s="155"/>
      <c r="AQ193" s="155"/>
      <c r="AR193" s="155"/>
      <c r="AS193" s="155"/>
      <c r="AT193" s="155"/>
      <c r="AU193" s="155"/>
      <c r="AV193" s="155"/>
      <c r="AW193" s="155"/>
      <c r="AX193" s="155"/>
      <c r="AY193" s="155"/>
      <c r="AZ193" s="155"/>
      <c r="BA193" s="155"/>
      <c r="BB193" s="155"/>
      <c r="BC193" s="155"/>
      <c r="BD193" s="155"/>
      <c r="BE193" s="155"/>
      <c r="BF193" s="155"/>
      <c r="BG193" s="155"/>
      <c r="BH193" s="155"/>
      <c r="BI193" s="155"/>
      <c r="BJ193" s="155"/>
      <c r="BK193" s="155"/>
      <c r="BL193" s="155"/>
      <c r="BM193" s="155"/>
      <c r="BN193" s="155"/>
      <c r="BO193" s="155"/>
      <c r="BP193" s="155"/>
      <c r="BQ193" s="155"/>
      <c r="BR193" s="155"/>
      <c r="BS193" s="155"/>
      <c r="BT193" s="155"/>
      <c r="BU193" s="155"/>
      <c r="BV193" s="155"/>
      <c r="BW193" s="155"/>
      <c r="BX193" s="155"/>
      <c r="BY193" s="155"/>
      <c r="BZ193" s="155"/>
      <c r="CA193" s="155"/>
      <c r="CB193" s="155"/>
      <c r="CC193" s="155"/>
      <c r="CD193" s="155"/>
      <c r="CE193" s="155"/>
      <c r="CF193" s="155"/>
      <c r="CG193" s="155"/>
      <c r="CH193" s="155"/>
      <c r="CI193" s="155"/>
      <c r="CJ193" s="155"/>
      <c r="CK193" s="155"/>
      <c r="CL193" s="155"/>
      <c r="CM193" s="155"/>
      <c r="CN193" s="155"/>
      <c r="CO193" s="155"/>
      <c r="CP193" s="155"/>
      <c r="CQ193" s="155"/>
      <c r="CR193" s="155"/>
    </row>
    <row r="194" spans="1:96" x14ac:dyDescent="0.25">
      <c r="A194" s="174">
        <v>68</v>
      </c>
      <c r="B194" s="175" t="s">
        <v>339</v>
      </c>
      <c r="C194" s="176">
        <v>68</v>
      </c>
      <c r="D194" s="177" t="s">
        <v>122</v>
      </c>
      <c r="E194" s="178">
        <v>12.5</v>
      </c>
      <c r="F194" s="178">
        <v>4</v>
      </c>
      <c r="G194" s="178">
        <v>5</v>
      </c>
      <c r="H194" s="178">
        <v>4</v>
      </c>
      <c r="I194" s="178">
        <v>2</v>
      </c>
      <c r="J194" s="178">
        <v>3</v>
      </c>
      <c r="K194" s="178">
        <v>0.5</v>
      </c>
      <c r="L194" s="178"/>
      <c r="M194" s="178"/>
      <c r="N194" s="178"/>
      <c r="O194" s="178"/>
      <c r="P194" s="178"/>
      <c r="Q194" s="155"/>
      <c r="R194" s="155"/>
      <c r="S194" s="155"/>
      <c r="T194" s="155"/>
      <c r="U194" s="155"/>
      <c r="V194" s="155"/>
      <c r="W194" s="155"/>
      <c r="X194" s="155"/>
      <c r="Y194" s="155"/>
      <c r="Z194" s="155"/>
      <c r="AA194" s="155"/>
      <c r="AB194" s="155"/>
      <c r="AC194" s="155"/>
      <c r="AD194" s="155"/>
      <c r="AE194" s="155"/>
      <c r="AF194" s="155"/>
      <c r="AG194" s="155"/>
      <c r="AH194" s="155"/>
      <c r="AI194" s="155"/>
      <c r="AJ194" s="155"/>
      <c r="AK194" s="155"/>
      <c r="AL194" s="156"/>
      <c r="AM194" s="156"/>
      <c r="AN194" s="156"/>
      <c r="AO194" s="156"/>
      <c r="AP194" s="155"/>
      <c r="AQ194" s="155"/>
      <c r="AR194" s="155"/>
      <c r="AS194" s="155"/>
      <c r="AT194" s="155"/>
      <c r="AU194" s="155"/>
      <c r="AV194" s="155"/>
      <c r="AW194" s="155"/>
      <c r="AX194" s="155"/>
      <c r="AY194" s="155"/>
      <c r="AZ194" s="155"/>
      <c r="BA194" s="155"/>
      <c r="BB194" s="155"/>
      <c r="BC194" s="155"/>
      <c r="BD194" s="155"/>
      <c r="BE194" s="155"/>
      <c r="BF194" s="155"/>
      <c r="BG194" s="155"/>
      <c r="BH194" s="155"/>
      <c r="BI194" s="155"/>
      <c r="BJ194" s="155"/>
      <c r="BK194" s="155"/>
      <c r="BL194" s="155"/>
      <c r="BM194" s="155"/>
      <c r="BN194" s="155"/>
      <c r="BO194" s="155"/>
      <c r="BP194" s="155"/>
      <c r="BQ194" s="155"/>
      <c r="BR194" s="155"/>
      <c r="BS194" s="155"/>
      <c r="BT194" s="155"/>
      <c r="BU194" s="155"/>
      <c r="BV194" s="155"/>
      <c r="BW194" s="155"/>
      <c r="BX194" s="155"/>
      <c r="BY194" s="155"/>
      <c r="BZ194" s="155"/>
      <c r="CA194" s="155"/>
      <c r="CB194" s="155"/>
      <c r="CC194" s="155"/>
      <c r="CD194" s="155"/>
      <c r="CE194" s="155"/>
      <c r="CF194" s="155"/>
      <c r="CG194" s="155"/>
      <c r="CH194" s="155"/>
      <c r="CI194" s="155"/>
      <c r="CJ194" s="155"/>
      <c r="CK194" s="155"/>
      <c r="CL194" s="155"/>
      <c r="CM194" s="155"/>
      <c r="CN194" s="155"/>
      <c r="CO194" s="155"/>
      <c r="CP194" s="155"/>
      <c r="CQ194" s="155"/>
      <c r="CR194" s="155"/>
    </row>
    <row r="195" spans="1:96" x14ac:dyDescent="0.25">
      <c r="A195" s="179">
        <v>69</v>
      </c>
      <c r="B195" s="180" t="s">
        <v>339</v>
      </c>
      <c r="C195" s="181">
        <v>69</v>
      </c>
      <c r="D195" s="182" t="s">
        <v>192</v>
      </c>
      <c r="E195" s="183">
        <v>0</v>
      </c>
      <c r="F195" s="183">
        <v>0</v>
      </c>
      <c r="G195" s="183">
        <v>0</v>
      </c>
      <c r="H195" s="183">
        <v>0</v>
      </c>
      <c r="I195" s="183">
        <v>0</v>
      </c>
      <c r="J195" s="183">
        <v>0</v>
      </c>
      <c r="K195" s="183">
        <v>0</v>
      </c>
      <c r="L195" s="183"/>
      <c r="M195" s="183"/>
      <c r="N195" s="183"/>
      <c r="O195" s="183"/>
      <c r="P195" s="183"/>
      <c r="Q195" s="155"/>
      <c r="R195" s="155"/>
      <c r="S195" s="155"/>
      <c r="T195" s="155"/>
      <c r="U195" s="155"/>
      <c r="V195" s="155"/>
      <c r="W195" s="155"/>
      <c r="X195" s="155"/>
      <c r="Y195" s="155"/>
      <c r="Z195" s="155"/>
      <c r="AA195" s="155"/>
      <c r="AB195" s="155"/>
      <c r="AC195" s="155"/>
      <c r="AD195" s="155"/>
      <c r="AE195" s="155"/>
      <c r="AF195" s="155"/>
      <c r="AG195" s="155"/>
      <c r="AH195" s="155"/>
      <c r="AI195" s="155"/>
      <c r="AJ195" s="155"/>
      <c r="AK195" s="155"/>
      <c r="AL195" s="156"/>
      <c r="AM195" s="156"/>
      <c r="AN195" s="156"/>
      <c r="AO195" s="156"/>
      <c r="AP195" s="155"/>
      <c r="AQ195" s="155"/>
      <c r="AR195" s="155"/>
      <c r="AS195" s="155"/>
      <c r="AT195" s="155"/>
      <c r="AU195" s="155"/>
      <c r="AV195" s="155"/>
      <c r="AW195" s="155"/>
      <c r="AX195" s="155"/>
      <c r="AY195" s="155"/>
      <c r="AZ195" s="155"/>
      <c r="BA195" s="155"/>
      <c r="BB195" s="155"/>
      <c r="BC195" s="155"/>
      <c r="BD195" s="155"/>
      <c r="BE195" s="155"/>
      <c r="BF195" s="155"/>
      <c r="BG195" s="155"/>
      <c r="BH195" s="155"/>
      <c r="BI195" s="155"/>
      <c r="BJ195" s="155"/>
      <c r="BK195" s="155"/>
      <c r="BL195" s="155"/>
      <c r="BM195" s="155"/>
      <c r="BN195" s="155"/>
      <c r="BO195" s="155"/>
      <c r="BP195" s="155"/>
      <c r="BQ195" s="155"/>
      <c r="BR195" s="155"/>
      <c r="BS195" s="155"/>
      <c r="BT195" s="155"/>
      <c r="BU195" s="155"/>
      <c r="BV195" s="155"/>
      <c r="BW195" s="155"/>
      <c r="BX195" s="155"/>
      <c r="BY195" s="155"/>
      <c r="BZ195" s="155"/>
      <c r="CA195" s="155"/>
      <c r="CB195" s="155"/>
      <c r="CC195" s="155"/>
      <c r="CD195" s="155"/>
      <c r="CE195" s="155"/>
      <c r="CF195" s="155"/>
      <c r="CG195" s="155"/>
      <c r="CH195" s="155"/>
      <c r="CI195" s="155"/>
      <c r="CJ195" s="155"/>
      <c r="CK195" s="155"/>
      <c r="CL195" s="155"/>
      <c r="CM195" s="155"/>
      <c r="CN195" s="155"/>
      <c r="CO195" s="155"/>
      <c r="CP195" s="155"/>
      <c r="CQ195" s="155"/>
      <c r="CR195" s="155"/>
    </row>
    <row r="196" spans="1:96" x14ac:dyDescent="0.25">
      <c r="A196" s="174">
        <v>70</v>
      </c>
      <c r="B196" s="175" t="s">
        <v>334</v>
      </c>
      <c r="C196" s="176">
        <v>70</v>
      </c>
      <c r="D196" s="177" t="s">
        <v>191</v>
      </c>
      <c r="E196" s="178">
        <v>0</v>
      </c>
      <c r="F196" s="178">
        <v>0</v>
      </c>
      <c r="G196" s="178">
        <v>0</v>
      </c>
      <c r="H196" s="178">
        <v>0</v>
      </c>
      <c r="I196" s="178">
        <v>0</v>
      </c>
      <c r="J196" s="178">
        <v>0</v>
      </c>
      <c r="K196" s="178">
        <v>1</v>
      </c>
      <c r="L196" s="178"/>
      <c r="M196" s="178"/>
      <c r="N196" s="178"/>
      <c r="O196" s="178"/>
      <c r="P196" s="178"/>
      <c r="Q196" s="155"/>
      <c r="R196" s="155"/>
      <c r="S196" s="155"/>
      <c r="T196" s="155"/>
      <c r="U196" s="155"/>
      <c r="V196" s="155"/>
      <c r="W196" s="155"/>
      <c r="X196" s="155"/>
      <c r="Y196" s="155"/>
      <c r="Z196" s="155"/>
      <c r="AA196" s="155"/>
      <c r="AB196" s="155"/>
      <c r="AC196" s="155"/>
      <c r="AD196" s="155"/>
      <c r="AE196" s="155"/>
      <c r="AF196" s="155"/>
      <c r="AG196" s="155"/>
      <c r="AH196" s="155"/>
      <c r="AI196" s="155"/>
      <c r="AJ196" s="155"/>
      <c r="AK196" s="155"/>
      <c r="AL196" s="156"/>
      <c r="AM196" s="156"/>
      <c r="AN196" s="156"/>
      <c r="AO196" s="156"/>
      <c r="AP196" s="155"/>
      <c r="AQ196" s="155"/>
      <c r="AR196" s="155"/>
      <c r="AS196" s="155"/>
      <c r="AT196" s="155"/>
      <c r="AU196" s="155"/>
      <c r="AV196" s="155"/>
      <c r="AW196" s="155"/>
      <c r="AX196" s="155"/>
      <c r="AY196" s="155"/>
      <c r="AZ196" s="155"/>
      <c r="BA196" s="155"/>
      <c r="BB196" s="155"/>
      <c r="BC196" s="155"/>
      <c r="BD196" s="155"/>
      <c r="BE196" s="155"/>
      <c r="BF196" s="155"/>
      <c r="BG196" s="155"/>
      <c r="BH196" s="155"/>
      <c r="BI196" s="155"/>
      <c r="BJ196" s="155"/>
      <c r="BK196" s="155"/>
      <c r="BL196" s="155"/>
      <c r="BM196" s="155"/>
      <c r="BN196" s="155"/>
      <c r="BO196" s="155"/>
      <c r="BP196" s="155"/>
      <c r="BQ196" s="155"/>
      <c r="BR196" s="155"/>
      <c r="BS196" s="155"/>
      <c r="BT196" s="155"/>
      <c r="BU196" s="155"/>
      <c r="BV196" s="155"/>
      <c r="BW196" s="155"/>
      <c r="BX196" s="155"/>
      <c r="BY196" s="155"/>
      <c r="BZ196" s="155"/>
      <c r="CA196" s="155"/>
      <c r="CB196" s="155"/>
      <c r="CC196" s="155"/>
      <c r="CD196" s="155"/>
      <c r="CE196" s="155"/>
      <c r="CF196" s="155"/>
      <c r="CG196" s="155"/>
      <c r="CH196" s="155"/>
      <c r="CI196" s="155"/>
      <c r="CJ196" s="155"/>
      <c r="CK196" s="155"/>
      <c r="CL196" s="155"/>
      <c r="CM196" s="155"/>
      <c r="CN196" s="155"/>
      <c r="CO196" s="155"/>
      <c r="CP196" s="155"/>
      <c r="CQ196" s="155"/>
      <c r="CR196" s="155"/>
    </row>
    <row r="197" spans="1:96" x14ac:dyDescent="0.25">
      <c r="A197" s="179">
        <v>71</v>
      </c>
      <c r="B197" s="180" t="s">
        <v>345</v>
      </c>
      <c r="C197" s="181">
        <v>71</v>
      </c>
      <c r="D197" s="188" t="s">
        <v>190</v>
      </c>
      <c r="E197" s="183">
        <v>30.5</v>
      </c>
      <c r="F197" s="183">
        <v>9.5</v>
      </c>
      <c r="G197" s="183">
        <v>13.5</v>
      </c>
      <c r="H197" s="183">
        <v>0</v>
      </c>
      <c r="I197" s="183">
        <v>0</v>
      </c>
      <c r="J197" s="183">
        <v>11</v>
      </c>
      <c r="K197" s="183">
        <v>18</v>
      </c>
      <c r="L197" s="183"/>
      <c r="M197" s="183"/>
      <c r="N197" s="183"/>
      <c r="O197" s="183"/>
      <c r="P197" s="183"/>
      <c r="Q197" s="155"/>
      <c r="R197" s="155"/>
      <c r="S197" s="155"/>
      <c r="T197" s="155"/>
      <c r="U197" s="155"/>
      <c r="V197" s="155"/>
      <c r="W197" s="155"/>
      <c r="X197" s="155"/>
      <c r="Y197" s="155"/>
      <c r="Z197" s="155"/>
      <c r="AA197" s="155"/>
      <c r="AB197" s="155"/>
      <c r="AC197" s="155"/>
      <c r="AD197" s="155"/>
      <c r="AE197" s="155"/>
      <c r="AF197" s="155"/>
      <c r="AG197" s="155"/>
      <c r="AH197" s="155"/>
      <c r="AI197" s="155"/>
      <c r="AJ197" s="155"/>
      <c r="AK197" s="155"/>
      <c r="AL197" s="156"/>
      <c r="AM197" s="156"/>
      <c r="AN197" s="156"/>
      <c r="AO197" s="156"/>
      <c r="AP197" s="155"/>
      <c r="AQ197" s="155"/>
      <c r="AR197" s="155"/>
      <c r="AS197" s="155"/>
      <c r="AT197" s="155"/>
      <c r="AU197" s="155"/>
      <c r="AV197" s="155"/>
      <c r="AW197" s="155"/>
      <c r="AX197" s="155"/>
      <c r="AY197" s="155"/>
      <c r="AZ197" s="155"/>
      <c r="BA197" s="155"/>
      <c r="BB197" s="155"/>
      <c r="BC197" s="155"/>
      <c r="BD197" s="155"/>
      <c r="BE197" s="155"/>
      <c r="BF197" s="155"/>
      <c r="BG197" s="155"/>
      <c r="BH197" s="155"/>
      <c r="BI197" s="155"/>
      <c r="BJ197" s="155"/>
      <c r="BK197" s="155"/>
      <c r="BL197" s="155"/>
      <c r="BM197" s="155"/>
      <c r="BN197" s="155"/>
      <c r="BO197" s="155"/>
      <c r="BP197" s="155"/>
      <c r="BQ197" s="155"/>
      <c r="BR197" s="155"/>
      <c r="BS197" s="155"/>
      <c r="BT197" s="155"/>
      <c r="BU197" s="155"/>
      <c r="BV197" s="155"/>
      <c r="BW197" s="155"/>
      <c r="BX197" s="155"/>
      <c r="BY197" s="155"/>
      <c r="BZ197" s="155"/>
      <c r="CA197" s="155"/>
      <c r="CB197" s="155"/>
      <c r="CC197" s="155"/>
      <c r="CD197" s="155"/>
      <c r="CE197" s="155"/>
      <c r="CF197" s="155"/>
      <c r="CG197" s="155"/>
      <c r="CH197" s="155"/>
      <c r="CI197" s="155"/>
      <c r="CJ197" s="155"/>
      <c r="CK197" s="155"/>
      <c r="CL197" s="155"/>
      <c r="CM197" s="155"/>
      <c r="CN197" s="155"/>
      <c r="CO197" s="155"/>
      <c r="CP197" s="155"/>
      <c r="CQ197" s="155"/>
      <c r="CR197" s="155"/>
    </row>
    <row r="198" spans="1:96" x14ac:dyDescent="0.25">
      <c r="A198" s="174">
        <v>72</v>
      </c>
      <c r="B198" s="175" t="s">
        <v>335</v>
      </c>
      <c r="C198" s="176">
        <v>72</v>
      </c>
      <c r="D198" s="186" t="s">
        <v>130</v>
      </c>
      <c r="E198" s="178">
        <v>0</v>
      </c>
      <c r="F198" s="178">
        <v>0</v>
      </c>
      <c r="G198" s="178">
        <v>0</v>
      </c>
      <c r="H198" s="178">
        <v>0</v>
      </c>
      <c r="I198" s="178">
        <v>0</v>
      </c>
      <c r="J198" s="178">
        <v>2</v>
      </c>
      <c r="K198" s="178">
        <v>0</v>
      </c>
      <c r="L198" s="178"/>
      <c r="M198" s="178"/>
      <c r="N198" s="178"/>
      <c r="O198" s="178"/>
      <c r="P198" s="178"/>
      <c r="Q198" s="155"/>
      <c r="R198" s="155"/>
      <c r="S198" s="155"/>
      <c r="T198" s="155"/>
      <c r="U198" s="155"/>
      <c r="V198" s="155"/>
      <c r="W198" s="155"/>
      <c r="X198" s="155"/>
      <c r="Y198" s="155"/>
      <c r="Z198" s="155"/>
      <c r="AA198" s="155"/>
      <c r="AB198" s="155"/>
      <c r="AC198" s="155"/>
      <c r="AD198" s="155"/>
      <c r="AE198" s="155"/>
      <c r="AF198" s="155"/>
      <c r="AG198" s="155"/>
      <c r="AH198" s="155"/>
      <c r="AI198" s="155"/>
      <c r="AJ198" s="155"/>
      <c r="AK198" s="155"/>
      <c r="AL198" s="156"/>
      <c r="AM198" s="156"/>
      <c r="AN198" s="156"/>
      <c r="AO198" s="156"/>
      <c r="AP198" s="155"/>
      <c r="AQ198" s="155"/>
      <c r="AR198" s="155"/>
      <c r="AS198" s="155"/>
      <c r="AT198" s="155"/>
      <c r="AU198" s="155"/>
      <c r="AV198" s="155"/>
      <c r="AW198" s="155"/>
      <c r="AX198" s="155"/>
      <c r="AY198" s="155"/>
      <c r="AZ198" s="155"/>
      <c r="BA198" s="155"/>
      <c r="BB198" s="155"/>
      <c r="BC198" s="155"/>
      <c r="BD198" s="155"/>
      <c r="BE198" s="155"/>
      <c r="BF198" s="155"/>
      <c r="BG198" s="155"/>
      <c r="BH198" s="155"/>
      <c r="BI198" s="155"/>
      <c r="BJ198" s="155"/>
      <c r="BK198" s="155"/>
      <c r="BL198" s="155"/>
      <c r="BM198" s="155"/>
      <c r="BN198" s="155"/>
      <c r="BO198" s="155"/>
      <c r="BP198" s="155"/>
      <c r="BQ198" s="155"/>
      <c r="BR198" s="155"/>
      <c r="BS198" s="155"/>
      <c r="BT198" s="155"/>
      <c r="BU198" s="155"/>
      <c r="BV198" s="155"/>
      <c r="BW198" s="155"/>
      <c r="BX198" s="155"/>
      <c r="BY198" s="155"/>
      <c r="BZ198" s="155"/>
      <c r="CA198" s="155"/>
      <c r="CB198" s="155"/>
      <c r="CC198" s="155"/>
      <c r="CD198" s="155"/>
      <c r="CE198" s="155"/>
      <c r="CF198" s="155"/>
      <c r="CG198" s="155"/>
      <c r="CH198" s="155"/>
      <c r="CI198" s="155"/>
      <c r="CJ198" s="155"/>
      <c r="CK198" s="155"/>
      <c r="CL198" s="155"/>
      <c r="CM198" s="155"/>
      <c r="CN198" s="155"/>
      <c r="CO198" s="155"/>
      <c r="CP198" s="155"/>
      <c r="CQ198" s="155"/>
      <c r="CR198" s="155"/>
    </row>
    <row r="199" spans="1:96" x14ac:dyDescent="0.25">
      <c r="A199" s="179">
        <v>73</v>
      </c>
      <c r="B199" s="180" t="s">
        <v>334</v>
      </c>
      <c r="C199" s="181">
        <v>73</v>
      </c>
      <c r="D199" s="187" t="s">
        <v>123</v>
      </c>
      <c r="E199" s="183">
        <v>29</v>
      </c>
      <c r="F199" s="183">
        <v>15</v>
      </c>
      <c r="G199" s="183">
        <v>0</v>
      </c>
      <c r="H199" s="183">
        <v>0</v>
      </c>
      <c r="I199" s="183">
        <v>0</v>
      </c>
      <c r="J199" s="183">
        <v>0</v>
      </c>
      <c r="K199" s="183">
        <v>0</v>
      </c>
      <c r="L199" s="183"/>
      <c r="M199" s="183"/>
      <c r="N199" s="183"/>
      <c r="O199" s="183"/>
      <c r="P199" s="183"/>
      <c r="Q199" s="155"/>
      <c r="R199" s="155"/>
      <c r="S199" s="155"/>
      <c r="T199" s="155"/>
      <c r="U199" s="155"/>
      <c r="V199" s="155"/>
      <c r="W199" s="155"/>
      <c r="X199" s="155"/>
      <c r="Y199" s="155"/>
      <c r="Z199" s="155"/>
      <c r="AA199" s="155"/>
      <c r="AB199" s="155"/>
      <c r="AC199" s="155"/>
      <c r="AD199" s="155"/>
      <c r="AE199" s="155"/>
      <c r="AF199" s="155"/>
      <c r="AG199" s="155"/>
      <c r="AH199" s="155"/>
      <c r="AI199" s="155"/>
      <c r="AJ199" s="155"/>
      <c r="AK199" s="155"/>
      <c r="AL199" s="156"/>
      <c r="AM199" s="156"/>
      <c r="AN199" s="156"/>
      <c r="AO199" s="156"/>
      <c r="AP199" s="155"/>
      <c r="AQ199" s="155"/>
      <c r="AR199" s="155"/>
      <c r="AS199" s="155"/>
      <c r="AT199" s="155"/>
      <c r="AU199" s="155"/>
      <c r="AV199" s="155"/>
      <c r="AW199" s="155"/>
      <c r="AX199" s="155"/>
      <c r="AY199" s="155"/>
      <c r="AZ199" s="155"/>
      <c r="BA199" s="155"/>
      <c r="BB199" s="155"/>
      <c r="BC199" s="155"/>
      <c r="BD199" s="155"/>
      <c r="BE199" s="155"/>
      <c r="BF199" s="155"/>
      <c r="BG199" s="155"/>
      <c r="BH199" s="155"/>
      <c r="BI199" s="155"/>
      <c r="BJ199" s="155"/>
      <c r="BK199" s="155"/>
      <c r="BL199" s="155"/>
      <c r="BM199" s="155"/>
      <c r="BN199" s="155"/>
      <c r="BO199" s="155"/>
      <c r="BP199" s="155"/>
      <c r="BQ199" s="155"/>
      <c r="BR199" s="155"/>
      <c r="BS199" s="155"/>
      <c r="BT199" s="155"/>
      <c r="BU199" s="155"/>
      <c r="BV199" s="155"/>
      <c r="BW199" s="155"/>
      <c r="BX199" s="155"/>
      <c r="BY199" s="155"/>
      <c r="BZ199" s="155"/>
      <c r="CA199" s="155"/>
      <c r="CB199" s="155"/>
      <c r="CC199" s="155"/>
      <c r="CD199" s="155"/>
      <c r="CE199" s="155"/>
      <c r="CF199" s="155"/>
      <c r="CG199" s="155"/>
      <c r="CH199" s="155"/>
      <c r="CI199" s="155"/>
      <c r="CJ199" s="155"/>
      <c r="CK199" s="155"/>
      <c r="CL199" s="155"/>
      <c r="CM199" s="155"/>
      <c r="CN199" s="155"/>
      <c r="CO199" s="155"/>
      <c r="CP199" s="155"/>
      <c r="CQ199" s="155"/>
      <c r="CR199" s="155"/>
    </row>
    <row r="200" spans="1:96" x14ac:dyDescent="0.25">
      <c r="A200" s="174">
        <v>74</v>
      </c>
      <c r="B200" s="175" t="s">
        <v>339</v>
      </c>
      <c r="C200" s="176">
        <v>74</v>
      </c>
      <c r="D200" s="186" t="s">
        <v>188</v>
      </c>
      <c r="E200" s="178">
        <v>12.5</v>
      </c>
      <c r="F200" s="178">
        <v>2.5</v>
      </c>
      <c r="G200" s="178">
        <v>6</v>
      </c>
      <c r="H200" s="178">
        <v>0</v>
      </c>
      <c r="I200" s="178">
        <v>0</v>
      </c>
      <c r="J200" s="178">
        <v>0</v>
      </c>
      <c r="K200" s="178">
        <v>0</v>
      </c>
      <c r="L200" s="178"/>
      <c r="M200" s="178"/>
      <c r="N200" s="178"/>
      <c r="O200" s="178"/>
      <c r="P200" s="178"/>
      <c r="Q200" s="155"/>
      <c r="R200" s="155"/>
      <c r="S200" s="155"/>
      <c r="T200" s="155"/>
      <c r="U200" s="155"/>
      <c r="V200" s="155"/>
      <c r="W200" s="155"/>
      <c r="X200" s="155"/>
      <c r="Y200" s="155"/>
      <c r="Z200" s="155"/>
      <c r="AA200" s="155"/>
      <c r="AB200" s="155"/>
      <c r="AC200" s="155"/>
      <c r="AD200" s="155"/>
      <c r="AE200" s="155"/>
      <c r="AF200" s="155"/>
      <c r="AG200" s="155"/>
      <c r="AH200" s="155"/>
      <c r="AI200" s="155"/>
      <c r="AJ200" s="155"/>
      <c r="AK200" s="155"/>
      <c r="AL200" s="156"/>
      <c r="AM200" s="156"/>
      <c r="AN200" s="156"/>
      <c r="AO200" s="156"/>
      <c r="AP200" s="155"/>
      <c r="AQ200" s="155"/>
      <c r="AR200" s="155"/>
      <c r="AS200" s="155"/>
      <c r="AT200" s="155"/>
      <c r="AU200" s="155"/>
      <c r="AV200" s="155"/>
      <c r="AW200" s="155"/>
      <c r="AX200" s="155"/>
      <c r="AY200" s="155"/>
      <c r="AZ200" s="155"/>
      <c r="BA200" s="155"/>
      <c r="BB200" s="155"/>
      <c r="BC200" s="155"/>
      <c r="BD200" s="155"/>
      <c r="BE200" s="155"/>
      <c r="BF200" s="155"/>
      <c r="BG200" s="155"/>
      <c r="BH200" s="155"/>
      <c r="BI200" s="155"/>
      <c r="BJ200" s="155"/>
      <c r="BK200" s="155"/>
      <c r="BL200" s="155"/>
      <c r="BM200" s="155"/>
      <c r="BN200" s="155"/>
      <c r="BO200" s="155"/>
      <c r="BP200" s="155"/>
      <c r="BQ200" s="155"/>
      <c r="BR200" s="155"/>
      <c r="BS200" s="155"/>
      <c r="BT200" s="155"/>
      <c r="BU200" s="155"/>
      <c r="BV200" s="155"/>
      <c r="BW200" s="155"/>
      <c r="BX200" s="155"/>
      <c r="BY200" s="155"/>
      <c r="BZ200" s="155"/>
      <c r="CA200" s="155"/>
      <c r="CB200" s="155"/>
      <c r="CC200" s="155"/>
      <c r="CD200" s="155"/>
      <c r="CE200" s="155"/>
      <c r="CF200" s="155"/>
      <c r="CG200" s="155"/>
      <c r="CH200" s="155"/>
      <c r="CI200" s="155"/>
      <c r="CJ200" s="155"/>
      <c r="CK200" s="155"/>
      <c r="CL200" s="155"/>
      <c r="CM200" s="155"/>
      <c r="CN200" s="155"/>
      <c r="CO200" s="155"/>
      <c r="CP200" s="155"/>
      <c r="CQ200" s="155"/>
      <c r="CR200" s="155"/>
    </row>
    <row r="201" spans="1:96" x14ac:dyDescent="0.25">
      <c r="A201" s="179">
        <v>75</v>
      </c>
      <c r="B201" s="180" t="s">
        <v>334</v>
      </c>
      <c r="C201" s="181">
        <v>75</v>
      </c>
      <c r="D201" s="187" t="s">
        <v>187</v>
      </c>
      <c r="E201" s="183">
        <v>33</v>
      </c>
      <c r="F201" s="183">
        <v>15</v>
      </c>
      <c r="G201" s="183">
        <v>12</v>
      </c>
      <c r="H201" s="183">
        <v>0</v>
      </c>
      <c r="I201" s="183">
        <v>0</v>
      </c>
      <c r="J201" s="183">
        <v>8.5</v>
      </c>
      <c r="K201" s="183">
        <v>9</v>
      </c>
      <c r="L201" s="183"/>
      <c r="M201" s="183"/>
      <c r="N201" s="183"/>
      <c r="O201" s="183"/>
      <c r="P201" s="183"/>
      <c r="Q201" s="155"/>
      <c r="R201" s="155"/>
      <c r="S201" s="155"/>
      <c r="T201" s="155"/>
      <c r="U201" s="155"/>
      <c r="V201" s="155"/>
      <c r="W201" s="155"/>
      <c r="X201" s="155"/>
      <c r="Y201" s="155"/>
      <c r="Z201" s="155"/>
      <c r="AA201" s="155"/>
      <c r="AB201" s="155"/>
      <c r="AC201" s="155"/>
      <c r="AD201" s="155"/>
      <c r="AE201" s="155"/>
      <c r="AF201" s="155"/>
      <c r="AG201" s="155"/>
      <c r="AH201" s="155"/>
      <c r="AI201" s="155"/>
      <c r="AJ201" s="155"/>
      <c r="AK201" s="155"/>
      <c r="AL201" s="156"/>
      <c r="AM201" s="156"/>
      <c r="AN201" s="156"/>
      <c r="AO201" s="156"/>
      <c r="AP201" s="155"/>
      <c r="AQ201" s="155"/>
      <c r="AR201" s="155"/>
      <c r="AS201" s="155"/>
      <c r="AT201" s="155"/>
      <c r="AU201" s="155"/>
      <c r="AV201" s="155"/>
      <c r="AW201" s="155"/>
      <c r="AX201" s="155"/>
      <c r="AY201" s="155"/>
      <c r="AZ201" s="155"/>
      <c r="BA201" s="155"/>
      <c r="BB201" s="155"/>
      <c r="BC201" s="155"/>
      <c r="BD201" s="155"/>
      <c r="BE201" s="155"/>
      <c r="BF201" s="155"/>
      <c r="BG201" s="155"/>
      <c r="BH201" s="155"/>
      <c r="BI201" s="155"/>
      <c r="BJ201" s="155"/>
      <c r="BK201" s="155"/>
      <c r="BL201" s="155"/>
      <c r="BM201" s="155"/>
      <c r="BN201" s="155"/>
      <c r="BO201" s="155"/>
      <c r="BP201" s="155"/>
      <c r="BQ201" s="155"/>
      <c r="BR201" s="155"/>
      <c r="BS201" s="155"/>
      <c r="BT201" s="155"/>
      <c r="BU201" s="155"/>
      <c r="BV201" s="155"/>
      <c r="BW201" s="155"/>
      <c r="BX201" s="155"/>
      <c r="BY201" s="155"/>
      <c r="BZ201" s="155"/>
      <c r="CA201" s="155"/>
      <c r="CB201" s="155"/>
      <c r="CC201" s="155"/>
      <c r="CD201" s="155"/>
      <c r="CE201" s="155"/>
      <c r="CF201" s="155"/>
      <c r="CG201" s="155"/>
      <c r="CH201" s="155"/>
      <c r="CI201" s="155"/>
      <c r="CJ201" s="155"/>
      <c r="CK201" s="155"/>
      <c r="CL201" s="155"/>
      <c r="CM201" s="155"/>
      <c r="CN201" s="155"/>
      <c r="CO201" s="155"/>
      <c r="CP201" s="155"/>
      <c r="CQ201" s="155"/>
      <c r="CR201" s="155"/>
    </row>
    <row r="202" spans="1:96" x14ac:dyDescent="0.25">
      <c r="A202" s="174">
        <v>76</v>
      </c>
      <c r="B202" s="175" t="s">
        <v>334</v>
      </c>
      <c r="C202" s="176">
        <v>76</v>
      </c>
      <c r="D202" s="186" t="s">
        <v>186</v>
      </c>
      <c r="E202" s="178">
        <v>23</v>
      </c>
      <c r="F202" s="178">
        <v>10</v>
      </c>
      <c r="G202" s="178">
        <v>6.5</v>
      </c>
      <c r="H202" s="178">
        <v>0</v>
      </c>
      <c r="I202" s="178">
        <v>0</v>
      </c>
      <c r="J202" s="178">
        <v>7</v>
      </c>
      <c r="K202" s="178">
        <v>9.5</v>
      </c>
      <c r="L202" s="178"/>
      <c r="M202" s="178"/>
      <c r="N202" s="178"/>
      <c r="O202" s="178"/>
      <c r="P202" s="178"/>
      <c r="Q202" s="155"/>
      <c r="R202" s="155"/>
      <c r="S202" s="155"/>
      <c r="T202" s="155"/>
      <c r="U202" s="155"/>
      <c r="V202" s="155"/>
      <c r="W202" s="155"/>
      <c r="X202" s="155"/>
      <c r="Y202" s="155"/>
      <c r="Z202" s="155"/>
      <c r="AA202" s="155"/>
      <c r="AB202" s="155"/>
      <c r="AC202" s="155"/>
      <c r="AD202" s="155"/>
      <c r="AE202" s="155"/>
      <c r="AF202" s="155"/>
      <c r="AG202" s="155"/>
      <c r="AH202" s="155"/>
      <c r="AI202" s="155"/>
      <c r="AJ202" s="155"/>
      <c r="AK202" s="155"/>
      <c r="AL202" s="156"/>
      <c r="AM202" s="156"/>
      <c r="AN202" s="156"/>
      <c r="AO202" s="156"/>
      <c r="AP202" s="155"/>
      <c r="AQ202" s="155"/>
      <c r="AR202" s="155"/>
      <c r="AS202" s="155"/>
      <c r="AT202" s="155"/>
      <c r="AU202" s="155"/>
      <c r="AV202" s="155"/>
      <c r="AW202" s="155"/>
      <c r="AX202" s="155"/>
      <c r="AY202" s="155"/>
      <c r="AZ202" s="155"/>
      <c r="BA202" s="155"/>
      <c r="BB202" s="155"/>
      <c r="BC202" s="155"/>
      <c r="BD202" s="155"/>
      <c r="BE202" s="155"/>
      <c r="BF202" s="155"/>
      <c r="BG202" s="155"/>
      <c r="BH202" s="155"/>
      <c r="BI202" s="155"/>
      <c r="BJ202" s="155"/>
      <c r="BK202" s="155"/>
      <c r="BL202" s="155"/>
      <c r="BM202" s="155"/>
      <c r="BN202" s="155"/>
      <c r="BO202" s="155"/>
      <c r="BP202" s="155"/>
      <c r="BQ202" s="155"/>
      <c r="BR202" s="155"/>
      <c r="BS202" s="155"/>
      <c r="BT202" s="155"/>
      <c r="BU202" s="155"/>
      <c r="BV202" s="155"/>
      <c r="BW202" s="155"/>
      <c r="BX202" s="155"/>
      <c r="BY202" s="155"/>
      <c r="BZ202" s="155"/>
      <c r="CA202" s="155"/>
      <c r="CB202" s="155"/>
      <c r="CC202" s="155"/>
      <c r="CD202" s="155"/>
      <c r="CE202" s="155"/>
      <c r="CF202" s="155"/>
      <c r="CG202" s="155"/>
      <c r="CH202" s="155"/>
      <c r="CI202" s="155"/>
      <c r="CJ202" s="155"/>
      <c r="CK202" s="155"/>
      <c r="CL202" s="155"/>
      <c r="CM202" s="155"/>
      <c r="CN202" s="155"/>
      <c r="CO202" s="155"/>
      <c r="CP202" s="155"/>
      <c r="CQ202" s="155"/>
      <c r="CR202" s="155"/>
    </row>
    <row r="203" spans="1:96" x14ac:dyDescent="0.25">
      <c r="A203" s="179">
        <v>77</v>
      </c>
      <c r="B203" s="180" t="s">
        <v>333</v>
      </c>
      <c r="C203" s="181">
        <v>77</v>
      </c>
      <c r="D203" s="187" t="s">
        <v>299</v>
      </c>
      <c r="E203" s="183">
        <v>47.5</v>
      </c>
      <c r="F203" s="183">
        <v>15.5</v>
      </c>
      <c r="G203" s="183">
        <v>17</v>
      </c>
      <c r="H203" s="183">
        <v>0.5</v>
      </c>
      <c r="I203" s="183">
        <v>0</v>
      </c>
      <c r="J203" s="183">
        <v>11.5</v>
      </c>
      <c r="K203" s="183">
        <v>20</v>
      </c>
      <c r="L203" s="183"/>
      <c r="M203" s="183"/>
      <c r="N203" s="183"/>
      <c r="O203" s="183"/>
      <c r="P203" s="183"/>
      <c r="Q203" s="155"/>
      <c r="R203" s="155"/>
      <c r="S203" s="155"/>
      <c r="T203" s="155"/>
      <c r="U203" s="155"/>
      <c r="V203" s="155"/>
      <c r="W203" s="155"/>
      <c r="X203" s="155"/>
      <c r="Y203" s="155"/>
      <c r="Z203" s="155"/>
      <c r="AA203" s="155"/>
      <c r="AB203" s="155"/>
      <c r="AC203" s="155"/>
      <c r="AD203" s="155"/>
      <c r="AE203" s="155"/>
      <c r="AF203" s="155"/>
      <c r="AG203" s="155"/>
      <c r="AH203" s="155"/>
      <c r="AI203" s="155"/>
      <c r="AJ203" s="155"/>
      <c r="AK203" s="155"/>
      <c r="AL203" s="156"/>
      <c r="AM203" s="156"/>
      <c r="AN203" s="156"/>
      <c r="AO203" s="156"/>
      <c r="AP203" s="155"/>
      <c r="AQ203" s="155"/>
      <c r="AR203" s="155"/>
      <c r="AS203" s="155"/>
      <c r="AT203" s="155"/>
      <c r="AU203" s="155"/>
      <c r="AV203" s="155"/>
      <c r="AW203" s="155"/>
      <c r="AX203" s="155"/>
      <c r="AY203" s="155"/>
      <c r="AZ203" s="155"/>
      <c r="BA203" s="155"/>
      <c r="BB203" s="155"/>
      <c r="BC203" s="155"/>
      <c r="BD203" s="155"/>
      <c r="BE203" s="155"/>
      <c r="BF203" s="155"/>
      <c r="BG203" s="155"/>
      <c r="BH203" s="155"/>
      <c r="BI203" s="155"/>
      <c r="BJ203" s="155"/>
      <c r="BK203" s="155"/>
      <c r="BL203" s="155"/>
      <c r="BM203" s="155"/>
      <c r="BN203" s="155"/>
      <c r="BO203" s="155"/>
      <c r="BP203" s="155"/>
      <c r="BQ203" s="155"/>
      <c r="BR203" s="155"/>
      <c r="BS203" s="155"/>
      <c r="BT203" s="155"/>
      <c r="BU203" s="155"/>
      <c r="BV203" s="155"/>
      <c r="BW203" s="155"/>
      <c r="BX203" s="155"/>
      <c r="BY203" s="155"/>
      <c r="BZ203" s="155"/>
      <c r="CA203" s="155"/>
      <c r="CB203" s="155"/>
      <c r="CC203" s="155"/>
      <c r="CD203" s="155"/>
      <c r="CE203" s="155"/>
      <c r="CF203" s="155"/>
      <c r="CG203" s="155"/>
      <c r="CH203" s="155"/>
      <c r="CI203" s="155"/>
      <c r="CJ203" s="155"/>
      <c r="CK203" s="155"/>
      <c r="CL203" s="155"/>
      <c r="CM203" s="155"/>
      <c r="CN203" s="155"/>
      <c r="CO203" s="155"/>
      <c r="CP203" s="155"/>
      <c r="CQ203" s="155"/>
      <c r="CR203" s="155"/>
    </row>
    <row r="204" spans="1:96" x14ac:dyDescent="0.25">
      <c r="A204" s="174">
        <v>78</v>
      </c>
      <c r="B204" s="175" t="s">
        <v>342</v>
      </c>
      <c r="C204" s="176">
        <v>78</v>
      </c>
      <c r="D204" s="186" t="s">
        <v>125</v>
      </c>
      <c r="E204" s="178">
        <v>51</v>
      </c>
      <c r="F204" s="178">
        <v>15.5</v>
      </c>
      <c r="G204" s="178">
        <v>21.5</v>
      </c>
      <c r="H204" s="178">
        <v>0</v>
      </c>
      <c r="I204" s="178">
        <v>0</v>
      </c>
      <c r="J204" s="178">
        <v>6</v>
      </c>
      <c r="K204" s="178">
        <v>14</v>
      </c>
      <c r="L204" s="178"/>
      <c r="M204" s="178"/>
      <c r="N204" s="178"/>
      <c r="O204" s="178"/>
      <c r="P204" s="178"/>
      <c r="Q204" s="155"/>
      <c r="R204" s="155"/>
      <c r="S204" s="155"/>
      <c r="T204" s="155"/>
      <c r="U204" s="155"/>
      <c r="V204" s="155"/>
      <c r="W204" s="155"/>
      <c r="X204" s="155"/>
      <c r="Y204" s="155"/>
      <c r="Z204" s="155"/>
      <c r="AA204" s="155"/>
      <c r="AB204" s="155"/>
      <c r="AC204" s="155"/>
      <c r="AD204" s="155"/>
      <c r="AE204" s="155"/>
      <c r="AF204" s="155"/>
      <c r="AG204" s="155"/>
      <c r="AH204" s="155"/>
      <c r="AI204" s="155"/>
      <c r="AJ204" s="155"/>
      <c r="AK204" s="155"/>
      <c r="AL204" s="156"/>
      <c r="AM204" s="156"/>
      <c r="AN204" s="156"/>
      <c r="AO204" s="156"/>
      <c r="AP204" s="155"/>
      <c r="AQ204" s="155"/>
      <c r="AR204" s="155"/>
      <c r="AS204" s="155"/>
      <c r="AT204" s="155"/>
      <c r="AU204" s="155"/>
      <c r="AV204" s="155"/>
      <c r="AW204" s="155"/>
      <c r="AX204" s="155"/>
      <c r="AY204" s="155"/>
      <c r="AZ204" s="155"/>
      <c r="BA204" s="155"/>
      <c r="BB204" s="155"/>
      <c r="BC204" s="155"/>
      <c r="BD204" s="155"/>
      <c r="BE204" s="155"/>
      <c r="BF204" s="155"/>
      <c r="BG204" s="155"/>
      <c r="BH204" s="155"/>
      <c r="BI204" s="155"/>
      <c r="BJ204" s="155"/>
      <c r="BK204" s="155"/>
      <c r="BL204" s="155"/>
      <c r="BM204" s="155"/>
      <c r="BN204" s="155"/>
      <c r="BO204" s="155"/>
      <c r="BP204" s="155"/>
      <c r="BQ204" s="155"/>
      <c r="BR204" s="155"/>
      <c r="BS204" s="155"/>
      <c r="BT204" s="155"/>
      <c r="BU204" s="155"/>
      <c r="BV204" s="155"/>
      <c r="BW204" s="155"/>
      <c r="BX204" s="155"/>
      <c r="BY204" s="155"/>
      <c r="BZ204" s="155"/>
      <c r="CA204" s="155"/>
      <c r="CB204" s="155"/>
      <c r="CC204" s="155"/>
      <c r="CD204" s="155"/>
      <c r="CE204" s="155"/>
      <c r="CF204" s="155"/>
      <c r="CG204" s="155"/>
      <c r="CH204" s="155"/>
      <c r="CI204" s="155"/>
      <c r="CJ204" s="155"/>
      <c r="CK204" s="155"/>
      <c r="CL204" s="155"/>
      <c r="CM204" s="155"/>
      <c r="CN204" s="155"/>
      <c r="CO204" s="155"/>
      <c r="CP204" s="155"/>
      <c r="CQ204" s="155"/>
      <c r="CR204" s="155"/>
    </row>
    <row r="205" spans="1:96" x14ac:dyDescent="0.25">
      <c r="A205" s="179">
        <v>79</v>
      </c>
      <c r="B205" s="180" t="s">
        <v>335</v>
      </c>
      <c r="C205" s="181">
        <v>79</v>
      </c>
      <c r="D205" s="187" t="s">
        <v>185</v>
      </c>
      <c r="E205" s="183">
        <v>9.5</v>
      </c>
      <c r="F205" s="183">
        <v>0</v>
      </c>
      <c r="G205" s="183">
        <v>0</v>
      </c>
      <c r="H205" s="183">
        <v>0</v>
      </c>
      <c r="I205" s="183">
        <v>0</v>
      </c>
      <c r="J205" s="183">
        <v>12</v>
      </c>
      <c r="K205" s="183">
        <v>14.5</v>
      </c>
      <c r="L205" s="183"/>
      <c r="M205" s="183"/>
      <c r="N205" s="183"/>
      <c r="O205" s="183"/>
      <c r="P205" s="183"/>
      <c r="Q205" s="155"/>
      <c r="R205" s="155"/>
      <c r="S205" s="155"/>
      <c r="T205" s="155"/>
      <c r="U205" s="155"/>
      <c r="V205" s="155"/>
      <c r="W205" s="155"/>
      <c r="X205" s="155"/>
      <c r="Y205" s="155"/>
      <c r="Z205" s="155"/>
      <c r="AA205" s="155"/>
      <c r="AB205" s="155"/>
      <c r="AC205" s="155"/>
      <c r="AD205" s="155"/>
      <c r="AE205" s="155"/>
      <c r="AF205" s="155"/>
      <c r="AG205" s="155"/>
      <c r="AH205" s="155"/>
      <c r="AI205" s="155"/>
      <c r="AJ205" s="155"/>
      <c r="AK205" s="155"/>
      <c r="AL205" s="156"/>
      <c r="AM205" s="156"/>
      <c r="AN205" s="156"/>
      <c r="AO205" s="156"/>
      <c r="AP205" s="155"/>
      <c r="AQ205" s="155"/>
      <c r="AR205" s="155"/>
      <c r="AS205" s="155"/>
      <c r="AT205" s="155"/>
      <c r="AU205" s="155"/>
      <c r="AV205" s="155"/>
      <c r="AW205" s="155"/>
      <c r="AX205" s="155"/>
      <c r="AY205" s="155"/>
      <c r="AZ205" s="155"/>
      <c r="BA205" s="155"/>
      <c r="BB205" s="155"/>
      <c r="BC205" s="155"/>
      <c r="BD205" s="155"/>
      <c r="BE205" s="155"/>
      <c r="BF205" s="155"/>
      <c r="BG205" s="155"/>
      <c r="BH205" s="155"/>
      <c r="BI205" s="155"/>
      <c r="BJ205" s="155"/>
      <c r="BK205" s="155"/>
      <c r="BL205" s="155"/>
      <c r="BM205" s="155"/>
      <c r="BN205" s="155"/>
      <c r="BO205" s="155"/>
      <c r="BP205" s="155"/>
      <c r="BQ205" s="155"/>
      <c r="BR205" s="155"/>
      <c r="BS205" s="155"/>
      <c r="BT205" s="155"/>
      <c r="BU205" s="155"/>
      <c r="BV205" s="155"/>
      <c r="BW205" s="155"/>
      <c r="BX205" s="155"/>
      <c r="BY205" s="155"/>
      <c r="BZ205" s="155"/>
      <c r="CA205" s="155"/>
      <c r="CB205" s="155"/>
      <c r="CC205" s="155"/>
      <c r="CD205" s="155"/>
      <c r="CE205" s="155"/>
      <c r="CF205" s="155"/>
      <c r="CG205" s="155"/>
      <c r="CH205" s="155"/>
      <c r="CI205" s="155"/>
      <c r="CJ205" s="155"/>
      <c r="CK205" s="155"/>
      <c r="CL205" s="155"/>
      <c r="CM205" s="155"/>
      <c r="CN205" s="155"/>
      <c r="CO205" s="155"/>
      <c r="CP205" s="155"/>
      <c r="CQ205" s="155"/>
      <c r="CR205" s="155"/>
    </row>
    <row r="206" spans="1:96" x14ac:dyDescent="0.25">
      <c r="A206" s="174">
        <v>80</v>
      </c>
      <c r="B206" s="175" t="s">
        <v>343</v>
      </c>
      <c r="C206" s="176">
        <v>80</v>
      </c>
      <c r="D206" s="177" t="s">
        <v>101</v>
      </c>
      <c r="E206" s="178">
        <v>0</v>
      </c>
      <c r="F206" s="178">
        <v>0</v>
      </c>
      <c r="G206" s="178">
        <v>0</v>
      </c>
      <c r="H206" s="178">
        <v>0</v>
      </c>
      <c r="I206" s="178">
        <v>0</v>
      </c>
      <c r="J206" s="178">
        <v>0</v>
      </c>
      <c r="K206" s="178">
        <v>0</v>
      </c>
      <c r="L206" s="178"/>
      <c r="M206" s="178"/>
      <c r="N206" s="178"/>
      <c r="O206" s="178"/>
      <c r="P206" s="178"/>
      <c r="Q206" s="155"/>
      <c r="R206" s="155"/>
      <c r="S206" s="155"/>
      <c r="T206" s="155"/>
      <c r="U206" s="155"/>
      <c r="V206" s="155"/>
      <c r="W206" s="155"/>
      <c r="X206" s="155"/>
      <c r="Y206" s="155"/>
      <c r="Z206" s="155"/>
      <c r="AA206" s="155"/>
      <c r="AB206" s="155"/>
      <c r="AC206" s="155"/>
      <c r="AD206" s="155"/>
      <c r="AE206" s="155"/>
      <c r="AF206" s="155"/>
      <c r="AG206" s="155"/>
      <c r="AH206" s="155"/>
      <c r="AI206" s="155"/>
      <c r="AJ206" s="155"/>
      <c r="AK206" s="155"/>
      <c r="AL206" s="156"/>
      <c r="AM206" s="156"/>
      <c r="AN206" s="156"/>
      <c r="AO206" s="156"/>
      <c r="AP206" s="155"/>
      <c r="AQ206" s="155"/>
      <c r="AR206" s="155"/>
      <c r="AS206" s="155"/>
      <c r="AT206" s="155"/>
      <c r="AU206" s="155"/>
      <c r="AV206" s="155"/>
      <c r="AW206" s="155"/>
      <c r="AX206" s="155"/>
      <c r="AY206" s="155"/>
      <c r="AZ206" s="155"/>
      <c r="BA206" s="155"/>
      <c r="BB206" s="155"/>
      <c r="BC206" s="155"/>
      <c r="BD206" s="155"/>
      <c r="BE206" s="155"/>
      <c r="BF206" s="155"/>
      <c r="BG206" s="155"/>
      <c r="BH206" s="155"/>
      <c r="BI206" s="155"/>
      <c r="BJ206" s="155"/>
      <c r="BK206" s="155"/>
      <c r="BL206" s="155"/>
      <c r="BM206" s="155"/>
      <c r="BN206" s="155"/>
      <c r="BO206" s="155"/>
      <c r="BP206" s="155"/>
      <c r="BQ206" s="155"/>
      <c r="BR206" s="155"/>
      <c r="BS206" s="155"/>
      <c r="BT206" s="155"/>
      <c r="BU206" s="155"/>
      <c r="BV206" s="155"/>
      <c r="BW206" s="155"/>
      <c r="BX206" s="155"/>
      <c r="BY206" s="155"/>
      <c r="BZ206" s="155"/>
      <c r="CA206" s="155"/>
      <c r="CB206" s="155"/>
      <c r="CC206" s="155"/>
      <c r="CD206" s="155"/>
      <c r="CE206" s="155"/>
      <c r="CF206" s="155"/>
      <c r="CG206" s="155"/>
      <c r="CH206" s="155"/>
      <c r="CI206" s="155"/>
      <c r="CJ206" s="155"/>
      <c r="CK206" s="155"/>
      <c r="CL206" s="155"/>
      <c r="CM206" s="155"/>
      <c r="CN206" s="155"/>
      <c r="CO206" s="155"/>
      <c r="CP206" s="155"/>
      <c r="CQ206" s="155"/>
      <c r="CR206" s="155"/>
    </row>
    <row r="207" spans="1:96" x14ac:dyDescent="0.25">
      <c r="A207" s="179">
        <v>81</v>
      </c>
      <c r="B207" s="180" t="s">
        <v>335</v>
      </c>
      <c r="C207" s="181">
        <v>81</v>
      </c>
      <c r="D207" s="187" t="s">
        <v>293</v>
      </c>
      <c r="E207" s="183">
        <v>45</v>
      </c>
      <c r="F207" s="183">
        <v>14.5</v>
      </c>
      <c r="G207" s="183">
        <v>18.5</v>
      </c>
      <c r="H207" s="183">
        <v>12</v>
      </c>
      <c r="I207" s="183">
        <v>14.5</v>
      </c>
      <c r="J207" s="183">
        <v>14.5</v>
      </c>
      <c r="K207" s="183">
        <v>13</v>
      </c>
      <c r="L207" s="183"/>
      <c r="M207" s="183"/>
      <c r="N207" s="183"/>
      <c r="O207" s="183"/>
      <c r="P207" s="183"/>
      <c r="Q207" s="155"/>
      <c r="R207" s="155"/>
      <c r="S207" s="155"/>
      <c r="T207" s="155"/>
      <c r="U207" s="155"/>
      <c r="V207" s="155"/>
      <c r="W207" s="155"/>
      <c r="X207" s="155"/>
      <c r="Y207" s="155"/>
      <c r="Z207" s="155"/>
      <c r="AA207" s="155"/>
      <c r="AB207" s="155"/>
      <c r="AC207" s="155"/>
      <c r="AD207" s="155"/>
      <c r="AE207" s="155"/>
      <c r="AF207" s="155"/>
      <c r="AG207" s="155"/>
      <c r="AH207" s="155"/>
      <c r="AI207" s="155"/>
      <c r="AJ207" s="155"/>
      <c r="AK207" s="155"/>
      <c r="AL207" s="156"/>
      <c r="AM207" s="156"/>
      <c r="AN207" s="156"/>
      <c r="AO207" s="156"/>
      <c r="AP207" s="155"/>
      <c r="AQ207" s="155"/>
      <c r="AR207" s="155"/>
      <c r="AS207" s="155"/>
      <c r="AT207" s="155"/>
      <c r="AU207" s="155"/>
      <c r="AV207" s="155"/>
      <c r="AW207" s="155"/>
      <c r="AX207" s="155"/>
      <c r="AY207" s="155"/>
      <c r="AZ207" s="155"/>
      <c r="BA207" s="155"/>
      <c r="BB207" s="155"/>
      <c r="BC207" s="155"/>
      <c r="BD207" s="155"/>
      <c r="BE207" s="155"/>
      <c r="BF207" s="155"/>
      <c r="BG207" s="155"/>
      <c r="BH207" s="155"/>
      <c r="BI207" s="155"/>
      <c r="BJ207" s="155"/>
      <c r="BK207" s="155"/>
      <c r="BL207" s="155"/>
      <c r="BM207" s="155"/>
      <c r="BN207" s="155"/>
      <c r="BO207" s="155"/>
      <c r="BP207" s="155"/>
      <c r="BQ207" s="155"/>
      <c r="BR207" s="155"/>
      <c r="BS207" s="155"/>
      <c r="BT207" s="155"/>
      <c r="BU207" s="155"/>
      <c r="BV207" s="155"/>
      <c r="BW207" s="155"/>
      <c r="BX207" s="155"/>
      <c r="BY207" s="155"/>
      <c r="BZ207" s="155"/>
      <c r="CA207" s="155"/>
      <c r="CB207" s="155"/>
      <c r="CC207" s="155"/>
      <c r="CD207" s="155"/>
      <c r="CE207" s="155"/>
      <c r="CF207" s="155"/>
      <c r="CG207" s="155"/>
      <c r="CH207" s="155"/>
      <c r="CI207" s="155"/>
      <c r="CJ207" s="155"/>
      <c r="CK207" s="155"/>
      <c r="CL207" s="155"/>
      <c r="CM207" s="155"/>
      <c r="CN207" s="155"/>
      <c r="CO207" s="155"/>
      <c r="CP207" s="155"/>
      <c r="CQ207" s="155"/>
      <c r="CR207" s="155"/>
    </row>
    <row r="208" spans="1:96" x14ac:dyDescent="0.25">
      <c r="A208" s="174">
        <v>82</v>
      </c>
      <c r="B208" s="175" t="s">
        <v>334</v>
      </c>
      <c r="C208" s="176">
        <v>82</v>
      </c>
      <c r="D208" s="186" t="s">
        <v>183</v>
      </c>
      <c r="E208" s="178">
        <v>0</v>
      </c>
      <c r="F208" s="178">
        <v>0</v>
      </c>
      <c r="G208" s="178">
        <v>0</v>
      </c>
      <c r="H208" s="178">
        <v>0</v>
      </c>
      <c r="I208" s="178">
        <v>0</v>
      </c>
      <c r="J208" s="178">
        <v>6</v>
      </c>
      <c r="K208" s="178">
        <v>2</v>
      </c>
      <c r="L208" s="178"/>
      <c r="M208" s="178"/>
      <c r="N208" s="178"/>
      <c r="O208" s="178"/>
      <c r="P208" s="178"/>
      <c r="Q208" s="155"/>
      <c r="R208" s="155"/>
      <c r="S208" s="155"/>
      <c r="T208" s="155"/>
      <c r="U208" s="155"/>
      <c r="V208" s="155"/>
      <c r="W208" s="155"/>
      <c r="X208" s="155"/>
      <c r="Y208" s="155"/>
      <c r="Z208" s="155"/>
      <c r="AA208" s="155"/>
      <c r="AB208" s="155"/>
      <c r="AC208" s="155"/>
      <c r="AD208" s="155"/>
      <c r="AE208" s="155"/>
      <c r="AF208" s="155"/>
      <c r="AG208" s="155"/>
      <c r="AH208" s="155"/>
      <c r="AI208" s="155"/>
      <c r="AJ208" s="155"/>
      <c r="AK208" s="155"/>
      <c r="AL208" s="156"/>
      <c r="AM208" s="156"/>
      <c r="AN208" s="156"/>
      <c r="AO208" s="156"/>
      <c r="AP208" s="155"/>
      <c r="AQ208" s="155"/>
      <c r="AR208" s="155"/>
      <c r="AS208" s="155"/>
      <c r="AT208" s="155"/>
      <c r="AU208" s="155"/>
      <c r="AV208" s="155"/>
      <c r="AW208" s="155"/>
      <c r="AX208" s="155"/>
      <c r="AY208" s="155"/>
      <c r="AZ208" s="155"/>
      <c r="BA208" s="155"/>
      <c r="BB208" s="155"/>
      <c r="BC208" s="155"/>
      <c r="BD208" s="155"/>
      <c r="BE208" s="155"/>
      <c r="BF208" s="155"/>
      <c r="BG208" s="155"/>
      <c r="BH208" s="155"/>
      <c r="BI208" s="155"/>
      <c r="BJ208" s="155"/>
      <c r="BK208" s="155"/>
      <c r="BL208" s="155"/>
      <c r="BM208" s="155"/>
      <c r="BN208" s="155"/>
      <c r="BO208" s="155"/>
      <c r="BP208" s="155"/>
      <c r="BQ208" s="155"/>
      <c r="BR208" s="155"/>
      <c r="BS208" s="155"/>
      <c r="BT208" s="155"/>
      <c r="BU208" s="155"/>
      <c r="BV208" s="155"/>
      <c r="BW208" s="155"/>
      <c r="BX208" s="155"/>
      <c r="BY208" s="155"/>
      <c r="BZ208" s="155"/>
      <c r="CA208" s="155"/>
      <c r="CB208" s="155"/>
      <c r="CC208" s="155"/>
      <c r="CD208" s="155"/>
      <c r="CE208" s="155"/>
      <c r="CF208" s="155"/>
      <c r="CG208" s="155"/>
      <c r="CH208" s="155"/>
      <c r="CI208" s="155"/>
      <c r="CJ208" s="155"/>
      <c r="CK208" s="155"/>
      <c r="CL208" s="155"/>
      <c r="CM208" s="155"/>
      <c r="CN208" s="155"/>
      <c r="CO208" s="155"/>
      <c r="CP208" s="155"/>
      <c r="CQ208" s="155"/>
      <c r="CR208" s="155"/>
    </row>
    <row r="209" spans="1:96" x14ac:dyDescent="0.25">
      <c r="A209" s="179">
        <v>83</v>
      </c>
      <c r="B209" s="180" t="s">
        <v>343</v>
      </c>
      <c r="C209" s="181">
        <v>83</v>
      </c>
      <c r="D209" s="182" t="s">
        <v>140</v>
      </c>
      <c r="E209" s="183">
        <v>0</v>
      </c>
      <c r="F209" s="183">
        <v>0</v>
      </c>
      <c r="G209" s="183">
        <v>0</v>
      </c>
      <c r="H209" s="183">
        <v>0</v>
      </c>
      <c r="I209" s="183">
        <v>0</v>
      </c>
      <c r="J209" s="183">
        <v>0</v>
      </c>
      <c r="K209" s="183">
        <v>0</v>
      </c>
      <c r="L209" s="183"/>
      <c r="M209" s="183"/>
      <c r="N209" s="183"/>
      <c r="O209" s="183"/>
      <c r="P209" s="183"/>
      <c r="Q209" s="155"/>
      <c r="R209" s="155"/>
      <c r="S209" s="155"/>
      <c r="T209" s="155"/>
      <c r="U209" s="155"/>
      <c r="V209" s="155"/>
      <c r="W209" s="155"/>
      <c r="X209" s="155"/>
      <c r="Y209" s="155"/>
      <c r="Z209" s="155"/>
      <c r="AA209" s="155"/>
      <c r="AB209" s="155"/>
      <c r="AC209" s="155"/>
      <c r="AD209" s="155"/>
      <c r="AE209" s="155"/>
      <c r="AF209" s="155"/>
      <c r="AG209" s="155"/>
      <c r="AH209" s="155"/>
      <c r="AI209" s="155"/>
      <c r="AJ209" s="155"/>
      <c r="AK209" s="155"/>
      <c r="AL209" s="156"/>
      <c r="AM209" s="156"/>
      <c r="AN209" s="156"/>
      <c r="AO209" s="156"/>
      <c r="AP209" s="155"/>
      <c r="AQ209" s="155"/>
      <c r="AR209" s="155"/>
      <c r="AS209" s="155"/>
      <c r="AT209" s="155"/>
      <c r="AU209" s="155"/>
      <c r="AV209" s="155"/>
      <c r="AW209" s="155"/>
      <c r="AX209" s="155"/>
      <c r="AY209" s="155"/>
      <c r="AZ209" s="155"/>
      <c r="BA209" s="155"/>
      <c r="BB209" s="155"/>
      <c r="BC209" s="155"/>
      <c r="BD209" s="155"/>
      <c r="BE209" s="155"/>
      <c r="BF209" s="155"/>
      <c r="BG209" s="155"/>
      <c r="BH209" s="155"/>
      <c r="BI209" s="155"/>
      <c r="BJ209" s="155"/>
      <c r="BK209" s="155"/>
      <c r="BL209" s="155"/>
      <c r="BM209" s="155"/>
      <c r="BN209" s="155"/>
      <c r="BO209" s="155"/>
      <c r="BP209" s="155"/>
      <c r="BQ209" s="155"/>
      <c r="BR209" s="155"/>
      <c r="BS209" s="155"/>
      <c r="BT209" s="155"/>
      <c r="BU209" s="155"/>
      <c r="BV209" s="155"/>
      <c r="BW209" s="155"/>
      <c r="BX209" s="155"/>
      <c r="BY209" s="155"/>
      <c r="BZ209" s="155"/>
      <c r="CA209" s="155"/>
      <c r="CB209" s="155"/>
      <c r="CC209" s="155"/>
      <c r="CD209" s="155"/>
      <c r="CE209" s="155"/>
      <c r="CF209" s="155"/>
      <c r="CG209" s="155"/>
      <c r="CH209" s="155"/>
      <c r="CI209" s="155"/>
      <c r="CJ209" s="155"/>
      <c r="CK209" s="155"/>
      <c r="CL209" s="155"/>
      <c r="CM209" s="155"/>
      <c r="CN209" s="155"/>
      <c r="CO209" s="155"/>
      <c r="CP209" s="155"/>
      <c r="CQ209" s="155"/>
      <c r="CR209" s="155"/>
    </row>
    <row r="210" spans="1:96" x14ac:dyDescent="0.25">
      <c r="A210" s="174">
        <v>84</v>
      </c>
      <c r="B210" s="175" t="s">
        <v>334</v>
      </c>
      <c r="C210" s="176">
        <v>84</v>
      </c>
      <c r="D210" s="186" t="s">
        <v>182</v>
      </c>
      <c r="E210" s="178">
        <v>30.5</v>
      </c>
      <c r="F210" s="178">
        <v>9</v>
      </c>
      <c r="G210" s="178">
        <v>7</v>
      </c>
      <c r="H210" s="178">
        <v>0</v>
      </c>
      <c r="I210" s="178">
        <v>0</v>
      </c>
      <c r="J210" s="178">
        <v>0</v>
      </c>
      <c r="K210" s="178">
        <v>0</v>
      </c>
      <c r="L210" s="178"/>
      <c r="M210" s="178"/>
      <c r="N210" s="178"/>
      <c r="O210" s="178"/>
      <c r="P210" s="178"/>
      <c r="Q210" s="155"/>
      <c r="R210" s="155"/>
      <c r="S210" s="155"/>
      <c r="T210" s="155"/>
      <c r="U210" s="155"/>
      <c r="V210" s="155"/>
      <c r="W210" s="155"/>
      <c r="X210" s="155"/>
      <c r="Y210" s="155"/>
      <c r="Z210" s="155"/>
      <c r="AA210" s="155"/>
      <c r="AB210" s="155"/>
      <c r="AC210" s="155"/>
      <c r="AD210" s="155"/>
      <c r="AE210" s="155"/>
      <c r="AF210" s="155"/>
      <c r="AG210" s="155"/>
      <c r="AH210" s="155"/>
      <c r="AI210" s="155"/>
      <c r="AJ210" s="155"/>
      <c r="AK210" s="155"/>
      <c r="AL210" s="156"/>
      <c r="AM210" s="156"/>
      <c r="AN210" s="156"/>
      <c r="AO210" s="156"/>
      <c r="AP210" s="155"/>
      <c r="AQ210" s="155"/>
      <c r="AR210" s="155"/>
      <c r="AS210" s="155"/>
      <c r="AT210" s="155"/>
      <c r="AU210" s="155"/>
      <c r="AV210" s="155"/>
      <c r="AW210" s="155"/>
      <c r="AX210" s="155"/>
      <c r="AY210" s="155"/>
      <c r="AZ210" s="155"/>
      <c r="BA210" s="155"/>
      <c r="BB210" s="155"/>
      <c r="BC210" s="155"/>
      <c r="BD210" s="155"/>
      <c r="BE210" s="155"/>
      <c r="BF210" s="155"/>
      <c r="BG210" s="155"/>
      <c r="BH210" s="155"/>
      <c r="BI210" s="155"/>
      <c r="BJ210" s="155"/>
      <c r="BK210" s="155"/>
      <c r="BL210" s="155"/>
      <c r="BM210" s="155"/>
      <c r="BN210" s="155"/>
      <c r="BO210" s="155"/>
      <c r="BP210" s="155"/>
      <c r="BQ210" s="155"/>
      <c r="BR210" s="155"/>
      <c r="BS210" s="155"/>
      <c r="BT210" s="155"/>
      <c r="BU210" s="155"/>
      <c r="BV210" s="155"/>
      <c r="BW210" s="155"/>
      <c r="BX210" s="155"/>
      <c r="BY210" s="155"/>
      <c r="BZ210" s="155"/>
      <c r="CA210" s="155"/>
      <c r="CB210" s="155"/>
      <c r="CC210" s="155"/>
      <c r="CD210" s="155"/>
      <c r="CE210" s="155"/>
      <c r="CF210" s="155"/>
      <c r="CG210" s="155"/>
      <c r="CH210" s="155"/>
      <c r="CI210" s="155"/>
      <c r="CJ210" s="155"/>
      <c r="CK210" s="155"/>
      <c r="CL210" s="155"/>
      <c r="CM210" s="155"/>
      <c r="CN210" s="155"/>
      <c r="CO210" s="155"/>
      <c r="CP210" s="155"/>
      <c r="CQ210" s="155"/>
      <c r="CR210" s="155"/>
    </row>
    <row r="211" spans="1:96" x14ac:dyDescent="0.25">
      <c r="A211" s="179">
        <v>85</v>
      </c>
      <c r="B211" s="180" t="s">
        <v>344</v>
      </c>
      <c r="C211" s="181">
        <v>85</v>
      </c>
      <c r="D211" s="187" t="s">
        <v>181</v>
      </c>
      <c r="E211" s="183">
        <v>31</v>
      </c>
      <c r="F211" s="183">
        <v>9.5</v>
      </c>
      <c r="G211" s="183">
        <v>13.5</v>
      </c>
      <c r="H211" s="183">
        <v>0</v>
      </c>
      <c r="I211" s="183">
        <v>1.5</v>
      </c>
      <c r="J211" s="183">
        <v>6.5</v>
      </c>
      <c r="K211" s="183">
        <v>14</v>
      </c>
      <c r="L211" s="183"/>
      <c r="M211" s="183"/>
      <c r="N211" s="183"/>
      <c r="O211" s="183"/>
      <c r="P211" s="183"/>
      <c r="Q211" s="155"/>
      <c r="R211" s="155"/>
      <c r="S211" s="155"/>
      <c r="T211" s="155"/>
      <c r="U211" s="155"/>
      <c r="V211" s="155"/>
      <c r="W211" s="155"/>
      <c r="X211" s="155"/>
      <c r="Y211" s="155"/>
      <c r="Z211" s="155"/>
      <c r="AA211" s="155"/>
      <c r="AB211" s="155"/>
      <c r="AC211" s="155"/>
      <c r="AD211" s="155"/>
      <c r="AE211" s="155"/>
      <c r="AF211" s="155"/>
      <c r="AG211" s="155"/>
      <c r="AH211" s="155"/>
      <c r="AI211" s="155"/>
      <c r="AJ211" s="155"/>
      <c r="AK211" s="155"/>
      <c r="AL211" s="156"/>
      <c r="AM211" s="156"/>
      <c r="AN211" s="156"/>
      <c r="AO211" s="156"/>
      <c r="AP211" s="155"/>
      <c r="AQ211" s="155"/>
      <c r="AR211" s="155"/>
      <c r="AS211" s="155"/>
      <c r="AT211" s="155"/>
      <c r="AU211" s="155"/>
      <c r="AV211" s="155"/>
      <c r="AW211" s="155"/>
      <c r="AX211" s="155"/>
      <c r="AY211" s="155"/>
      <c r="AZ211" s="155"/>
      <c r="BA211" s="155"/>
      <c r="BB211" s="155"/>
      <c r="BC211" s="155"/>
      <c r="BD211" s="155"/>
      <c r="BE211" s="155"/>
      <c r="BF211" s="155"/>
      <c r="BG211" s="155"/>
      <c r="BH211" s="155"/>
      <c r="BI211" s="155"/>
      <c r="BJ211" s="155"/>
      <c r="BK211" s="155"/>
      <c r="BL211" s="155"/>
      <c r="BM211" s="155"/>
      <c r="BN211" s="155"/>
      <c r="BO211" s="155"/>
      <c r="BP211" s="155"/>
      <c r="BQ211" s="155"/>
      <c r="BR211" s="155"/>
      <c r="BS211" s="155"/>
      <c r="BT211" s="155"/>
      <c r="BU211" s="155"/>
      <c r="BV211" s="155"/>
      <c r="BW211" s="155"/>
      <c r="BX211" s="155"/>
      <c r="BY211" s="155"/>
      <c r="BZ211" s="155"/>
      <c r="CA211" s="155"/>
      <c r="CB211" s="155"/>
      <c r="CC211" s="155"/>
      <c r="CD211" s="155"/>
      <c r="CE211" s="155"/>
      <c r="CF211" s="155"/>
      <c r="CG211" s="155"/>
      <c r="CH211" s="155"/>
      <c r="CI211" s="155"/>
      <c r="CJ211" s="155"/>
      <c r="CK211" s="155"/>
      <c r="CL211" s="155"/>
      <c r="CM211" s="155"/>
      <c r="CN211" s="155"/>
      <c r="CO211" s="155"/>
      <c r="CP211" s="155"/>
      <c r="CQ211" s="155"/>
      <c r="CR211" s="155"/>
    </row>
    <row r="212" spans="1:96" x14ac:dyDescent="0.25">
      <c r="A212" s="174">
        <v>86</v>
      </c>
      <c r="B212" s="175" t="s">
        <v>334</v>
      </c>
      <c r="C212" s="176">
        <v>86</v>
      </c>
      <c r="D212" s="186" t="s">
        <v>127</v>
      </c>
      <c r="E212" s="178">
        <v>24.5</v>
      </c>
      <c r="F212" s="178">
        <v>8</v>
      </c>
      <c r="G212" s="178">
        <v>3.5</v>
      </c>
      <c r="H212" s="178">
        <v>0</v>
      </c>
      <c r="I212" s="178">
        <v>0</v>
      </c>
      <c r="J212" s="178">
        <v>6.5</v>
      </c>
      <c r="K212" s="178">
        <v>8</v>
      </c>
      <c r="L212" s="178"/>
      <c r="M212" s="178"/>
      <c r="N212" s="178"/>
      <c r="O212" s="178"/>
      <c r="P212" s="178"/>
      <c r="Q212" s="155"/>
      <c r="R212" s="155"/>
      <c r="S212" s="155"/>
      <c r="T212" s="155"/>
      <c r="U212" s="155"/>
      <c r="V212" s="155"/>
      <c r="W212" s="155"/>
      <c r="X212" s="155"/>
      <c r="Y212" s="155"/>
      <c r="Z212" s="155"/>
      <c r="AA212" s="155"/>
      <c r="AB212" s="155"/>
      <c r="AC212" s="155"/>
      <c r="AD212" s="155"/>
      <c r="AE212" s="155"/>
      <c r="AF212" s="155"/>
      <c r="AG212" s="155"/>
      <c r="AH212" s="155"/>
      <c r="AI212" s="155"/>
      <c r="AJ212" s="155"/>
      <c r="AK212" s="155"/>
      <c r="AL212" s="156"/>
      <c r="AM212" s="156"/>
      <c r="AN212" s="156"/>
      <c r="AO212" s="156"/>
      <c r="AP212" s="155"/>
      <c r="AQ212" s="155"/>
      <c r="AR212" s="155"/>
      <c r="AS212" s="155"/>
      <c r="AT212" s="155"/>
      <c r="AU212" s="155"/>
      <c r="AV212" s="155"/>
      <c r="AW212" s="155"/>
      <c r="AX212" s="155"/>
      <c r="AY212" s="155"/>
      <c r="AZ212" s="155"/>
      <c r="BA212" s="155"/>
      <c r="BB212" s="155"/>
      <c r="BC212" s="155"/>
      <c r="BD212" s="155"/>
      <c r="BE212" s="155"/>
      <c r="BF212" s="155"/>
      <c r="BG212" s="155"/>
      <c r="BH212" s="155"/>
      <c r="BI212" s="155"/>
      <c r="BJ212" s="155"/>
      <c r="BK212" s="155"/>
      <c r="BL212" s="155"/>
      <c r="BM212" s="155"/>
      <c r="BN212" s="155"/>
      <c r="BO212" s="155"/>
      <c r="BP212" s="155"/>
      <c r="BQ212" s="155"/>
      <c r="BR212" s="155"/>
      <c r="BS212" s="155"/>
      <c r="BT212" s="155"/>
      <c r="BU212" s="155"/>
      <c r="BV212" s="155"/>
      <c r="BW212" s="155"/>
      <c r="BX212" s="155"/>
      <c r="BY212" s="155"/>
      <c r="BZ212" s="155"/>
      <c r="CA212" s="155"/>
      <c r="CB212" s="155"/>
      <c r="CC212" s="155"/>
      <c r="CD212" s="155"/>
      <c r="CE212" s="155"/>
      <c r="CF212" s="155"/>
      <c r="CG212" s="155"/>
      <c r="CH212" s="155"/>
      <c r="CI212" s="155"/>
      <c r="CJ212" s="155"/>
      <c r="CK212" s="155"/>
      <c r="CL212" s="155"/>
      <c r="CM212" s="155"/>
      <c r="CN212" s="155"/>
      <c r="CO212" s="155"/>
      <c r="CP212" s="155"/>
      <c r="CQ212" s="155"/>
      <c r="CR212" s="155"/>
    </row>
    <row r="213" spans="1:96" x14ac:dyDescent="0.25">
      <c r="A213" s="179">
        <v>87</v>
      </c>
      <c r="B213" s="180" t="s">
        <v>334</v>
      </c>
      <c r="C213" s="181">
        <v>87</v>
      </c>
      <c r="D213" s="187" t="s">
        <v>180</v>
      </c>
      <c r="E213" s="183">
        <v>25</v>
      </c>
      <c r="F213" s="183">
        <v>12.5</v>
      </c>
      <c r="G213" s="183">
        <v>7.5</v>
      </c>
      <c r="H213" s="183">
        <v>0</v>
      </c>
      <c r="I213" s="183">
        <v>0</v>
      </c>
      <c r="J213" s="183">
        <v>0</v>
      </c>
      <c r="K213" s="183">
        <v>0</v>
      </c>
      <c r="L213" s="183"/>
      <c r="M213" s="183"/>
      <c r="N213" s="183"/>
      <c r="O213" s="183"/>
      <c r="P213" s="183"/>
      <c r="Q213" s="155"/>
      <c r="R213" s="155"/>
      <c r="S213" s="155"/>
      <c r="T213" s="155"/>
      <c r="U213" s="155"/>
      <c r="V213" s="155"/>
      <c r="W213" s="155"/>
      <c r="X213" s="155"/>
      <c r="Y213" s="155"/>
      <c r="Z213" s="155"/>
      <c r="AA213" s="155"/>
      <c r="AB213" s="155"/>
      <c r="AC213" s="155"/>
      <c r="AD213" s="155"/>
      <c r="AE213" s="155"/>
      <c r="AF213" s="155"/>
      <c r="AG213" s="155"/>
      <c r="AH213" s="155"/>
      <c r="AI213" s="155"/>
      <c r="AJ213" s="155"/>
      <c r="AK213" s="155"/>
      <c r="AL213" s="156"/>
      <c r="AM213" s="156"/>
      <c r="AN213" s="156"/>
      <c r="AO213" s="156"/>
      <c r="AP213" s="155"/>
      <c r="AQ213" s="155"/>
      <c r="AR213" s="155"/>
      <c r="AS213" s="155"/>
      <c r="AT213" s="155"/>
      <c r="AU213" s="155"/>
      <c r="AV213" s="155"/>
      <c r="AW213" s="155"/>
      <c r="AX213" s="155"/>
      <c r="AY213" s="155"/>
      <c r="AZ213" s="155"/>
      <c r="BA213" s="155"/>
      <c r="BB213" s="155"/>
      <c r="BC213" s="155"/>
      <c r="BD213" s="155"/>
      <c r="BE213" s="155"/>
      <c r="BF213" s="155"/>
      <c r="BG213" s="155"/>
      <c r="BH213" s="155"/>
      <c r="BI213" s="155"/>
      <c r="BJ213" s="155"/>
      <c r="BK213" s="155"/>
      <c r="BL213" s="155"/>
      <c r="BM213" s="155"/>
      <c r="BN213" s="155"/>
      <c r="BO213" s="155"/>
      <c r="BP213" s="155"/>
      <c r="BQ213" s="155"/>
      <c r="BR213" s="155"/>
      <c r="BS213" s="155"/>
      <c r="BT213" s="155"/>
      <c r="BU213" s="155"/>
      <c r="BV213" s="155"/>
      <c r="BW213" s="155"/>
      <c r="BX213" s="155"/>
      <c r="BY213" s="155"/>
      <c r="BZ213" s="155"/>
      <c r="CA213" s="155"/>
      <c r="CB213" s="155"/>
      <c r="CC213" s="155"/>
      <c r="CD213" s="155"/>
      <c r="CE213" s="155"/>
      <c r="CF213" s="155"/>
      <c r="CG213" s="155"/>
      <c r="CH213" s="155"/>
      <c r="CI213" s="155"/>
      <c r="CJ213" s="155"/>
      <c r="CK213" s="155"/>
      <c r="CL213" s="155"/>
      <c r="CM213" s="155"/>
      <c r="CN213" s="155"/>
      <c r="CO213" s="155"/>
      <c r="CP213" s="155"/>
      <c r="CQ213" s="155"/>
      <c r="CR213" s="155"/>
    </row>
    <row r="214" spans="1:96" x14ac:dyDescent="0.25">
      <c r="A214" s="174">
        <v>88</v>
      </c>
      <c r="B214" s="175" t="s">
        <v>342</v>
      </c>
      <c r="C214" s="176">
        <v>88</v>
      </c>
      <c r="D214" s="186" t="s">
        <v>128</v>
      </c>
      <c r="E214" s="178">
        <v>21.5</v>
      </c>
      <c r="F214" s="178">
        <v>6</v>
      </c>
      <c r="G214" s="178">
        <v>5.5</v>
      </c>
      <c r="H214" s="178">
        <v>1</v>
      </c>
      <c r="I214" s="178">
        <v>9.5</v>
      </c>
      <c r="J214" s="178">
        <v>12.5</v>
      </c>
      <c r="K214" s="178">
        <v>22.5</v>
      </c>
      <c r="L214" s="178"/>
      <c r="M214" s="178"/>
      <c r="N214" s="178"/>
      <c r="O214" s="178"/>
      <c r="P214" s="178"/>
      <c r="Q214" s="155"/>
      <c r="R214" s="155"/>
      <c r="S214" s="155"/>
      <c r="T214" s="155"/>
      <c r="U214" s="155"/>
      <c r="V214" s="155"/>
      <c r="W214" s="155"/>
      <c r="X214" s="155"/>
      <c r="Y214" s="155"/>
      <c r="Z214" s="155"/>
      <c r="AA214" s="155"/>
      <c r="AB214" s="155"/>
      <c r="AC214" s="155"/>
      <c r="AD214" s="155"/>
      <c r="AE214" s="155"/>
      <c r="AF214" s="155"/>
      <c r="AG214" s="155"/>
      <c r="AH214" s="155"/>
      <c r="AI214" s="155"/>
      <c r="AJ214" s="155"/>
      <c r="AK214" s="155"/>
      <c r="AL214" s="156"/>
      <c r="AM214" s="156"/>
      <c r="AN214" s="156"/>
      <c r="AO214" s="156"/>
      <c r="AP214" s="155"/>
      <c r="AQ214" s="155"/>
      <c r="AR214" s="155"/>
      <c r="AS214" s="155"/>
      <c r="AT214" s="155"/>
      <c r="AU214" s="155"/>
      <c r="AV214" s="155"/>
      <c r="AW214" s="155"/>
      <c r="AX214" s="155"/>
      <c r="AY214" s="155"/>
      <c r="AZ214" s="155"/>
      <c r="BA214" s="155"/>
      <c r="BB214" s="155"/>
      <c r="BC214" s="155"/>
      <c r="BD214" s="155"/>
      <c r="BE214" s="155"/>
      <c r="BF214" s="155"/>
      <c r="BG214" s="155"/>
      <c r="BH214" s="155"/>
      <c r="BI214" s="155"/>
      <c r="BJ214" s="155"/>
      <c r="BK214" s="155"/>
      <c r="BL214" s="155"/>
      <c r="BM214" s="155"/>
      <c r="BN214" s="155"/>
      <c r="BO214" s="155"/>
      <c r="BP214" s="155"/>
      <c r="BQ214" s="155"/>
      <c r="BR214" s="155"/>
      <c r="BS214" s="155"/>
      <c r="BT214" s="155"/>
      <c r="BU214" s="155"/>
      <c r="BV214" s="155"/>
      <c r="BW214" s="155"/>
      <c r="BX214" s="155"/>
      <c r="BY214" s="155"/>
      <c r="BZ214" s="155"/>
      <c r="CA214" s="155"/>
      <c r="CB214" s="155"/>
      <c r="CC214" s="155"/>
      <c r="CD214" s="155"/>
      <c r="CE214" s="155"/>
      <c r="CF214" s="155"/>
      <c r="CG214" s="155"/>
      <c r="CH214" s="155"/>
      <c r="CI214" s="155"/>
      <c r="CJ214" s="155"/>
      <c r="CK214" s="155"/>
      <c r="CL214" s="155"/>
      <c r="CM214" s="155"/>
      <c r="CN214" s="155"/>
      <c r="CO214" s="155"/>
      <c r="CP214" s="155"/>
      <c r="CQ214" s="155"/>
      <c r="CR214" s="155"/>
    </row>
    <row r="215" spans="1:96" x14ac:dyDescent="0.25">
      <c r="A215" s="179">
        <v>89</v>
      </c>
      <c r="B215" s="180" t="s">
        <v>345</v>
      </c>
      <c r="C215" s="181">
        <v>89</v>
      </c>
      <c r="D215" s="187" t="s">
        <v>129</v>
      </c>
      <c r="E215" s="183">
        <v>29.5</v>
      </c>
      <c r="F215" s="183">
        <v>19</v>
      </c>
      <c r="G215" s="183">
        <v>0</v>
      </c>
      <c r="H215" s="183">
        <v>0</v>
      </c>
      <c r="I215" s="183">
        <v>0</v>
      </c>
      <c r="J215" s="183">
        <v>0</v>
      </c>
      <c r="K215" s="183">
        <v>0</v>
      </c>
      <c r="L215" s="183"/>
      <c r="M215" s="183"/>
      <c r="N215" s="183"/>
      <c r="O215" s="183"/>
      <c r="P215" s="183"/>
      <c r="Q215" s="155"/>
      <c r="R215" s="155"/>
      <c r="S215" s="155"/>
      <c r="T215" s="155"/>
      <c r="U215" s="155"/>
      <c r="V215" s="155"/>
      <c r="W215" s="155"/>
      <c r="X215" s="155"/>
      <c r="Y215" s="155"/>
      <c r="Z215" s="155"/>
      <c r="AA215" s="155"/>
      <c r="AB215" s="155"/>
      <c r="AC215" s="155"/>
      <c r="AD215" s="155"/>
      <c r="AE215" s="155"/>
      <c r="AF215" s="155"/>
      <c r="AG215" s="155"/>
      <c r="AH215" s="155"/>
      <c r="AI215" s="155"/>
      <c r="AJ215" s="155"/>
      <c r="AK215" s="155"/>
      <c r="AL215" s="156"/>
      <c r="AM215" s="156"/>
      <c r="AN215" s="156"/>
      <c r="AO215" s="156"/>
      <c r="AP215" s="155"/>
      <c r="AQ215" s="155"/>
      <c r="AR215" s="155"/>
      <c r="AS215" s="155"/>
      <c r="AT215" s="155"/>
      <c r="AU215" s="155"/>
      <c r="AV215" s="155"/>
      <c r="AW215" s="155"/>
      <c r="AX215" s="155"/>
      <c r="AY215" s="155"/>
      <c r="AZ215" s="155"/>
      <c r="BA215" s="155"/>
      <c r="BB215" s="155"/>
      <c r="BC215" s="155"/>
      <c r="BD215" s="155"/>
      <c r="BE215" s="155"/>
      <c r="BF215" s="155"/>
      <c r="BG215" s="155"/>
      <c r="BH215" s="155"/>
      <c r="BI215" s="155"/>
      <c r="BJ215" s="155"/>
      <c r="BK215" s="155"/>
      <c r="BL215" s="155"/>
      <c r="BM215" s="155"/>
      <c r="BN215" s="155"/>
      <c r="BO215" s="155"/>
      <c r="BP215" s="155"/>
      <c r="BQ215" s="155"/>
      <c r="BR215" s="155"/>
      <c r="BS215" s="155"/>
      <c r="BT215" s="155"/>
      <c r="BU215" s="155"/>
      <c r="BV215" s="155"/>
      <c r="BW215" s="155"/>
      <c r="BX215" s="155"/>
      <c r="BY215" s="155"/>
      <c r="BZ215" s="155"/>
      <c r="CA215" s="155"/>
      <c r="CB215" s="155"/>
      <c r="CC215" s="155"/>
      <c r="CD215" s="155"/>
      <c r="CE215" s="155"/>
      <c r="CF215" s="155"/>
      <c r="CG215" s="155"/>
      <c r="CH215" s="155"/>
      <c r="CI215" s="155"/>
      <c r="CJ215" s="155"/>
      <c r="CK215" s="155"/>
      <c r="CL215" s="155"/>
      <c r="CM215" s="155"/>
      <c r="CN215" s="155"/>
      <c r="CO215" s="155"/>
      <c r="CP215" s="155"/>
      <c r="CQ215" s="155"/>
      <c r="CR215" s="155"/>
    </row>
    <row r="216" spans="1:96" x14ac:dyDescent="0.25">
      <c r="A216" s="174">
        <v>90</v>
      </c>
      <c r="B216" s="175" t="s">
        <v>345</v>
      </c>
      <c r="C216" s="176">
        <v>90</v>
      </c>
      <c r="D216" s="186" t="s">
        <v>179</v>
      </c>
      <c r="E216" s="178">
        <v>41.5</v>
      </c>
      <c r="F216" s="178">
        <v>15</v>
      </c>
      <c r="G216" s="178">
        <v>17</v>
      </c>
      <c r="H216" s="178">
        <v>0</v>
      </c>
      <c r="I216" s="178">
        <v>0</v>
      </c>
      <c r="J216" s="178">
        <v>11.5</v>
      </c>
      <c r="K216" s="178">
        <v>18.5</v>
      </c>
      <c r="L216" s="178"/>
      <c r="M216" s="178"/>
      <c r="N216" s="178"/>
      <c r="O216" s="178"/>
      <c r="P216" s="178"/>
      <c r="Q216" s="155"/>
      <c r="R216" s="155"/>
      <c r="S216" s="155"/>
      <c r="T216" s="155"/>
      <c r="U216" s="155"/>
      <c r="V216" s="155"/>
      <c r="W216" s="155"/>
      <c r="X216" s="155"/>
      <c r="Y216" s="155"/>
      <c r="Z216" s="155"/>
      <c r="AA216" s="155"/>
      <c r="AB216" s="155"/>
      <c r="AC216" s="155"/>
      <c r="AD216" s="155"/>
      <c r="AE216" s="155"/>
      <c r="AF216" s="155"/>
      <c r="AG216" s="155"/>
      <c r="AH216" s="155"/>
      <c r="AI216" s="155"/>
      <c r="AJ216" s="155"/>
      <c r="AK216" s="155"/>
      <c r="AL216" s="156"/>
      <c r="AM216" s="156"/>
      <c r="AN216" s="156"/>
      <c r="AO216" s="156"/>
      <c r="AP216" s="155"/>
      <c r="AQ216" s="155"/>
      <c r="AR216" s="155"/>
      <c r="AS216" s="155"/>
      <c r="AT216" s="155"/>
      <c r="AU216" s="155"/>
      <c r="AV216" s="155"/>
      <c r="AW216" s="155"/>
      <c r="AX216" s="155"/>
      <c r="AY216" s="155"/>
      <c r="AZ216" s="155"/>
      <c r="BA216" s="155"/>
      <c r="BB216" s="155"/>
      <c r="BC216" s="155"/>
      <c r="BD216" s="155"/>
      <c r="BE216" s="155"/>
      <c r="BF216" s="155"/>
      <c r="BG216" s="155"/>
      <c r="BH216" s="155"/>
      <c r="BI216" s="155"/>
      <c r="BJ216" s="155"/>
      <c r="BK216" s="155"/>
      <c r="BL216" s="155"/>
      <c r="BM216" s="155"/>
      <c r="BN216" s="155"/>
      <c r="BO216" s="155"/>
      <c r="BP216" s="155"/>
      <c r="BQ216" s="155"/>
      <c r="BR216" s="155"/>
      <c r="BS216" s="155"/>
      <c r="BT216" s="155"/>
      <c r="BU216" s="155"/>
      <c r="BV216" s="155"/>
      <c r="BW216" s="155"/>
      <c r="BX216" s="155"/>
      <c r="BY216" s="155"/>
      <c r="BZ216" s="155"/>
      <c r="CA216" s="155"/>
      <c r="CB216" s="155"/>
      <c r="CC216" s="155"/>
      <c r="CD216" s="155"/>
      <c r="CE216" s="155"/>
      <c r="CF216" s="155"/>
      <c r="CG216" s="155"/>
      <c r="CH216" s="155"/>
      <c r="CI216" s="155"/>
      <c r="CJ216" s="155"/>
      <c r="CK216" s="155"/>
      <c r="CL216" s="155"/>
      <c r="CM216" s="155"/>
      <c r="CN216" s="155"/>
      <c r="CO216" s="155"/>
      <c r="CP216" s="155"/>
      <c r="CQ216" s="155"/>
      <c r="CR216" s="155"/>
    </row>
    <row r="217" spans="1:96" x14ac:dyDescent="0.25">
      <c r="A217" s="179">
        <v>91</v>
      </c>
      <c r="B217" s="180" t="s">
        <v>338</v>
      </c>
      <c r="C217" s="181">
        <v>91</v>
      </c>
      <c r="D217" s="182" t="s">
        <v>103</v>
      </c>
      <c r="E217" s="183">
        <v>0</v>
      </c>
      <c r="F217" s="183">
        <v>0</v>
      </c>
      <c r="G217" s="183">
        <v>0</v>
      </c>
      <c r="H217" s="183">
        <v>0</v>
      </c>
      <c r="I217" s="183">
        <v>0</v>
      </c>
      <c r="J217" s="183">
        <v>0</v>
      </c>
      <c r="K217" s="183">
        <v>0</v>
      </c>
      <c r="L217" s="183"/>
      <c r="M217" s="183"/>
      <c r="N217" s="183"/>
      <c r="O217" s="183"/>
      <c r="P217" s="183"/>
      <c r="Q217" s="155"/>
      <c r="R217" s="155"/>
      <c r="S217" s="155"/>
      <c r="T217" s="155"/>
      <c r="U217" s="155"/>
      <c r="V217" s="155"/>
      <c r="W217" s="155"/>
      <c r="X217" s="155"/>
      <c r="Y217" s="155"/>
      <c r="Z217" s="155"/>
      <c r="AA217" s="155"/>
      <c r="AB217" s="155"/>
      <c r="AC217" s="155"/>
      <c r="AD217" s="155"/>
      <c r="AE217" s="155"/>
      <c r="AF217" s="155"/>
      <c r="AG217" s="155"/>
      <c r="AH217" s="155"/>
      <c r="AI217" s="155"/>
      <c r="AJ217" s="155"/>
      <c r="AK217" s="155"/>
      <c r="AL217" s="156"/>
      <c r="AM217" s="156"/>
      <c r="AN217" s="156"/>
      <c r="AO217" s="156"/>
      <c r="AP217" s="155"/>
      <c r="AQ217" s="155"/>
      <c r="AR217" s="155"/>
      <c r="AS217" s="155"/>
      <c r="AT217" s="155"/>
      <c r="AU217" s="155"/>
      <c r="AV217" s="155"/>
      <c r="AW217" s="155"/>
      <c r="AX217" s="155"/>
      <c r="AY217" s="155"/>
      <c r="AZ217" s="155"/>
      <c r="BA217" s="155"/>
      <c r="BB217" s="155"/>
      <c r="BC217" s="155"/>
      <c r="BD217" s="155"/>
      <c r="BE217" s="155"/>
      <c r="BF217" s="155"/>
      <c r="BG217" s="155"/>
      <c r="BH217" s="155"/>
      <c r="BI217" s="155"/>
      <c r="BJ217" s="155"/>
      <c r="BK217" s="155"/>
      <c r="BL217" s="155"/>
      <c r="BM217" s="155"/>
      <c r="BN217" s="155"/>
      <c r="BO217" s="155"/>
      <c r="BP217" s="155"/>
      <c r="BQ217" s="155"/>
      <c r="BR217" s="155"/>
      <c r="BS217" s="155"/>
      <c r="BT217" s="155"/>
      <c r="BU217" s="155"/>
      <c r="BV217" s="155"/>
      <c r="BW217" s="155"/>
      <c r="BX217" s="155"/>
      <c r="BY217" s="155"/>
      <c r="BZ217" s="155"/>
      <c r="CA217" s="155"/>
      <c r="CB217" s="155"/>
      <c r="CC217" s="155"/>
      <c r="CD217" s="155"/>
      <c r="CE217" s="155"/>
      <c r="CF217" s="155"/>
      <c r="CG217" s="155"/>
      <c r="CH217" s="155"/>
      <c r="CI217" s="155"/>
      <c r="CJ217" s="155"/>
      <c r="CK217" s="155"/>
      <c r="CL217" s="155"/>
      <c r="CM217" s="155"/>
      <c r="CN217" s="155"/>
      <c r="CO217" s="155"/>
      <c r="CP217" s="155"/>
      <c r="CQ217" s="155"/>
      <c r="CR217" s="155"/>
    </row>
    <row r="218" spans="1:96" x14ac:dyDescent="0.25">
      <c r="A218" s="174">
        <v>92</v>
      </c>
      <c r="B218" s="184" t="s">
        <v>334</v>
      </c>
      <c r="C218" s="176">
        <v>92</v>
      </c>
      <c r="D218" s="177" t="s">
        <v>296</v>
      </c>
      <c r="E218" s="178">
        <v>39</v>
      </c>
      <c r="F218" s="178">
        <v>14</v>
      </c>
      <c r="G218" s="178">
        <v>16.5</v>
      </c>
      <c r="H218" s="178">
        <v>0.5</v>
      </c>
      <c r="I218" s="178">
        <v>0</v>
      </c>
      <c r="J218" s="178">
        <v>4</v>
      </c>
      <c r="K218" s="178">
        <v>10.5</v>
      </c>
      <c r="L218" s="178"/>
      <c r="M218" s="178"/>
      <c r="N218" s="178"/>
      <c r="O218" s="178"/>
      <c r="P218" s="178"/>
      <c r="Q218" s="155"/>
      <c r="R218" s="155"/>
      <c r="S218" s="155"/>
      <c r="T218" s="155"/>
      <c r="U218" s="155"/>
      <c r="V218" s="155"/>
      <c r="W218" s="155"/>
      <c r="X218" s="155"/>
      <c r="Y218" s="155"/>
      <c r="Z218" s="155"/>
      <c r="AA218" s="155"/>
      <c r="AB218" s="155"/>
      <c r="AC218" s="155"/>
      <c r="AD218" s="155"/>
      <c r="AE218" s="155"/>
      <c r="AF218" s="155"/>
      <c r="AG218" s="155"/>
      <c r="AH218" s="155"/>
      <c r="AI218" s="155"/>
      <c r="AJ218" s="155"/>
      <c r="AK218" s="155"/>
      <c r="AL218" s="156"/>
      <c r="AM218" s="156"/>
      <c r="AN218" s="156"/>
      <c r="AO218" s="156"/>
      <c r="AP218" s="155"/>
      <c r="AQ218" s="155"/>
      <c r="AR218" s="155"/>
      <c r="AS218" s="155"/>
      <c r="AT218" s="155"/>
      <c r="AU218" s="155"/>
      <c r="AV218" s="155"/>
      <c r="AW218" s="155"/>
      <c r="AX218" s="155"/>
      <c r="AY218" s="155"/>
      <c r="AZ218" s="155"/>
      <c r="BA218" s="155"/>
      <c r="BB218" s="155"/>
      <c r="BC218" s="155"/>
      <c r="BD218" s="155"/>
      <c r="BE218" s="155"/>
      <c r="BF218" s="155"/>
      <c r="BG218" s="155"/>
      <c r="BH218" s="155"/>
      <c r="BI218" s="155"/>
      <c r="BJ218" s="155"/>
      <c r="BK218" s="155"/>
      <c r="BL218" s="155"/>
      <c r="BM218" s="155"/>
      <c r="BN218" s="155"/>
      <c r="BO218" s="155"/>
      <c r="BP218" s="155"/>
      <c r="BQ218" s="155"/>
      <c r="BR218" s="155"/>
      <c r="BS218" s="155"/>
      <c r="BT218" s="155"/>
      <c r="BU218" s="155"/>
      <c r="BV218" s="155"/>
      <c r="BW218" s="155"/>
      <c r="BX218" s="155"/>
      <c r="BY218" s="155"/>
      <c r="BZ218" s="155"/>
      <c r="CA218" s="155"/>
      <c r="CB218" s="155"/>
      <c r="CC218" s="155"/>
      <c r="CD218" s="155"/>
      <c r="CE218" s="155"/>
      <c r="CF218" s="155"/>
      <c r="CG218" s="155"/>
      <c r="CH218" s="155"/>
      <c r="CI218" s="155"/>
      <c r="CJ218" s="155"/>
      <c r="CK218" s="155"/>
      <c r="CL218" s="155"/>
      <c r="CM218" s="155"/>
      <c r="CN218" s="155"/>
      <c r="CO218" s="155"/>
      <c r="CP218" s="155"/>
      <c r="CQ218" s="155"/>
      <c r="CR218" s="155"/>
    </row>
    <row r="219" spans="1:96" x14ac:dyDescent="0.25">
      <c r="A219" s="179">
        <v>93</v>
      </c>
      <c r="B219" s="180" t="s">
        <v>335</v>
      </c>
      <c r="C219" s="181">
        <v>93</v>
      </c>
      <c r="D219" s="187" t="s">
        <v>131</v>
      </c>
      <c r="E219" s="183">
        <v>5</v>
      </c>
      <c r="F219" s="183">
        <v>0</v>
      </c>
      <c r="G219" s="183">
        <v>0</v>
      </c>
      <c r="H219" s="183">
        <v>0</v>
      </c>
      <c r="I219" s="183">
        <v>0</v>
      </c>
      <c r="J219" s="183">
        <v>7.5</v>
      </c>
      <c r="K219" s="183">
        <v>15.5</v>
      </c>
      <c r="L219" s="183"/>
      <c r="M219" s="183"/>
      <c r="N219" s="183"/>
      <c r="O219" s="183"/>
      <c r="P219" s="183"/>
      <c r="Q219" s="155"/>
      <c r="R219" s="155"/>
      <c r="S219" s="155"/>
      <c r="T219" s="155"/>
      <c r="U219" s="155"/>
      <c r="V219" s="155"/>
      <c r="W219" s="155"/>
      <c r="X219" s="155"/>
      <c r="Y219" s="155"/>
      <c r="Z219" s="155"/>
      <c r="AA219" s="155"/>
      <c r="AB219" s="155"/>
      <c r="AC219" s="155"/>
      <c r="AD219" s="155"/>
      <c r="AE219" s="155"/>
      <c r="AF219" s="155"/>
      <c r="AG219" s="155"/>
      <c r="AH219" s="155"/>
      <c r="AI219" s="155"/>
      <c r="AJ219" s="155"/>
      <c r="AK219" s="155"/>
      <c r="AL219" s="156"/>
      <c r="AM219" s="156"/>
      <c r="AN219" s="156"/>
      <c r="AO219" s="156"/>
      <c r="AP219" s="155"/>
      <c r="AQ219" s="155"/>
      <c r="AR219" s="155"/>
      <c r="AS219" s="155"/>
      <c r="AT219" s="155"/>
      <c r="AU219" s="155"/>
      <c r="AV219" s="155"/>
      <c r="AW219" s="155"/>
      <c r="AX219" s="155"/>
      <c r="AY219" s="155"/>
      <c r="AZ219" s="155"/>
      <c r="BA219" s="155"/>
      <c r="BB219" s="155"/>
      <c r="BC219" s="155"/>
      <c r="BD219" s="155"/>
      <c r="BE219" s="155"/>
      <c r="BF219" s="155"/>
      <c r="BG219" s="155"/>
      <c r="BH219" s="155"/>
      <c r="BI219" s="155"/>
      <c r="BJ219" s="155"/>
      <c r="BK219" s="155"/>
      <c r="BL219" s="155"/>
      <c r="BM219" s="155"/>
      <c r="BN219" s="155"/>
      <c r="BO219" s="155"/>
      <c r="BP219" s="155"/>
      <c r="BQ219" s="155"/>
      <c r="BR219" s="155"/>
      <c r="BS219" s="155"/>
      <c r="BT219" s="155"/>
      <c r="BU219" s="155"/>
      <c r="BV219" s="155"/>
      <c r="BW219" s="155"/>
      <c r="BX219" s="155"/>
      <c r="BY219" s="155"/>
      <c r="BZ219" s="155"/>
      <c r="CA219" s="155"/>
      <c r="CB219" s="155"/>
      <c r="CC219" s="155"/>
      <c r="CD219" s="155"/>
      <c r="CE219" s="155"/>
      <c r="CF219" s="155"/>
      <c r="CG219" s="155"/>
      <c r="CH219" s="155"/>
      <c r="CI219" s="155"/>
      <c r="CJ219" s="155"/>
      <c r="CK219" s="155"/>
      <c r="CL219" s="155"/>
      <c r="CM219" s="155"/>
      <c r="CN219" s="155"/>
      <c r="CO219" s="155"/>
      <c r="CP219" s="155"/>
      <c r="CQ219" s="155"/>
      <c r="CR219" s="155"/>
    </row>
    <row r="220" spans="1:96" x14ac:dyDescent="0.25">
      <c r="A220" s="174">
        <v>94</v>
      </c>
      <c r="B220" s="175" t="s">
        <v>333</v>
      </c>
      <c r="C220" s="176">
        <v>94</v>
      </c>
      <c r="D220" s="186" t="s">
        <v>132</v>
      </c>
      <c r="E220" s="178">
        <v>48</v>
      </c>
      <c r="F220" s="178">
        <v>19.5</v>
      </c>
      <c r="G220" s="178">
        <v>15.5</v>
      </c>
      <c r="H220" s="178">
        <v>1.5</v>
      </c>
      <c r="I220" s="178">
        <v>0</v>
      </c>
      <c r="J220" s="178">
        <v>11</v>
      </c>
      <c r="K220" s="178">
        <v>15</v>
      </c>
      <c r="L220" s="178"/>
      <c r="M220" s="178"/>
      <c r="N220" s="178"/>
      <c r="O220" s="178"/>
      <c r="P220" s="178"/>
      <c r="Q220" s="155"/>
      <c r="R220" s="155"/>
      <c r="S220" s="155"/>
      <c r="T220" s="155"/>
      <c r="U220" s="155"/>
      <c r="V220" s="155"/>
      <c r="W220" s="155"/>
      <c r="X220" s="155"/>
      <c r="Y220" s="155"/>
      <c r="Z220" s="155"/>
      <c r="AA220" s="155"/>
      <c r="AB220" s="155"/>
      <c r="AC220" s="155"/>
      <c r="AD220" s="155"/>
      <c r="AE220" s="155"/>
      <c r="AF220" s="155"/>
      <c r="AG220" s="155"/>
      <c r="AH220" s="155"/>
      <c r="AI220" s="155"/>
      <c r="AJ220" s="155"/>
      <c r="AK220" s="155"/>
      <c r="AL220" s="156"/>
      <c r="AM220" s="156"/>
      <c r="AN220" s="156"/>
      <c r="AO220" s="156"/>
      <c r="AP220" s="155"/>
      <c r="AQ220" s="155"/>
      <c r="AR220" s="155"/>
      <c r="AS220" s="155"/>
      <c r="AT220" s="155"/>
      <c r="AU220" s="155"/>
      <c r="AV220" s="155"/>
      <c r="AW220" s="155"/>
      <c r="AX220" s="155"/>
      <c r="AY220" s="155"/>
      <c r="AZ220" s="155"/>
      <c r="BA220" s="155"/>
      <c r="BB220" s="155"/>
      <c r="BC220" s="155"/>
      <c r="BD220" s="155"/>
      <c r="BE220" s="155"/>
      <c r="BF220" s="155"/>
      <c r="BG220" s="155"/>
      <c r="BH220" s="155"/>
      <c r="BI220" s="155"/>
      <c r="BJ220" s="155"/>
      <c r="BK220" s="155"/>
      <c r="BL220" s="155"/>
      <c r="BM220" s="155"/>
      <c r="BN220" s="155"/>
      <c r="BO220" s="155"/>
      <c r="BP220" s="155"/>
      <c r="BQ220" s="155"/>
      <c r="BR220" s="155"/>
      <c r="BS220" s="155"/>
      <c r="BT220" s="155"/>
      <c r="BU220" s="155"/>
      <c r="BV220" s="155"/>
      <c r="BW220" s="155"/>
      <c r="BX220" s="155"/>
      <c r="BY220" s="155"/>
      <c r="BZ220" s="155"/>
      <c r="CA220" s="155"/>
      <c r="CB220" s="155"/>
      <c r="CC220" s="155"/>
      <c r="CD220" s="155"/>
      <c r="CE220" s="155"/>
      <c r="CF220" s="155"/>
      <c r="CG220" s="155"/>
      <c r="CH220" s="155"/>
      <c r="CI220" s="155"/>
      <c r="CJ220" s="155"/>
      <c r="CK220" s="155"/>
      <c r="CL220" s="155"/>
      <c r="CM220" s="155"/>
      <c r="CN220" s="155"/>
      <c r="CO220" s="155"/>
      <c r="CP220" s="155"/>
      <c r="CQ220" s="155"/>
      <c r="CR220" s="155"/>
    </row>
    <row r="221" spans="1:96" x14ac:dyDescent="0.25">
      <c r="A221" s="179">
        <v>95</v>
      </c>
      <c r="B221" s="180" t="s">
        <v>335</v>
      </c>
      <c r="C221" s="181">
        <v>95</v>
      </c>
      <c r="D221" s="187" t="s">
        <v>133</v>
      </c>
      <c r="E221" s="183">
        <v>45.5</v>
      </c>
      <c r="F221" s="183">
        <v>16</v>
      </c>
      <c r="G221" s="183">
        <v>17.5</v>
      </c>
      <c r="H221" s="183">
        <v>0.5</v>
      </c>
      <c r="I221" s="183">
        <v>2</v>
      </c>
      <c r="J221" s="183">
        <v>11</v>
      </c>
      <c r="K221" s="183">
        <v>11.5</v>
      </c>
      <c r="L221" s="183"/>
      <c r="M221" s="183"/>
      <c r="N221" s="183"/>
      <c r="O221" s="183"/>
      <c r="P221" s="183"/>
      <c r="Q221" s="155"/>
      <c r="R221" s="155"/>
      <c r="S221" s="155"/>
      <c r="T221" s="155"/>
      <c r="U221" s="155"/>
      <c r="V221" s="155"/>
      <c r="W221" s="155"/>
      <c r="X221" s="155"/>
      <c r="Y221" s="155"/>
      <c r="Z221" s="155"/>
      <c r="AA221" s="155"/>
      <c r="AB221" s="155"/>
      <c r="AC221" s="155"/>
      <c r="AD221" s="155"/>
      <c r="AE221" s="155"/>
      <c r="AF221" s="155"/>
      <c r="AG221" s="155"/>
      <c r="AH221" s="155"/>
      <c r="AI221" s="155"/>
      <c r="AJ221" s="155"/>
      <c r="AK221" s="155"/>
      <c r="AL221" s="156"/>
      <c r="AM221" s="156"/>
      <c r="AN221" s="156"/>
      <c r="AO221" s="156"/>
      <c r="AP221" s="155"/>
      <c r="AQ221" s="155"/>
      <c r="AR221" s="155"/>
      <c r="AS221" s="155"/>
      <c r="AT221" s="155"/>
      <c r="AU221" s="155"/>
      <c r="AV221" s="155"/>
      <c r="AW221" s="155"/>
      <c r="AX221" s="155"/>
      <c r="AY221" s="155"/>
      <c r="AZ221" s="155"/>
      <c r="BA221" s="155"/>
      <c r="BB221" s="155"/>
      <c r="BC221" s="155"/>
      <c r="BD221" s="155"/>
      <c r="BE221" s="155"/>
      <c r="BF221" s="155"/>
      <c r="BG221" s="155"/>
      <c r="BH221" s="155"/>
      <c r="BI221" s="155"/>
      <c r="BJ221" s="155"/>
      <c r="BK221" s="155"/>
      <c r="BL221" s="155"/>
      <c r="BM221" s="155"/>
      <c r="BN221" s="155"/>
      <c r="BO221" s="155"/>
      <c r="BP221" s="155"/>
      <c r="BQ221" s="155"/>
      <c r="BR221" s="155"/>
      <c r="BS221" s="155"/>
      <c r="BT221" s="155"/>
      <c r="BU221" s="155"/>
      <c r="BV221" s="155"/>
      <c r="BW221" s="155"/>
      <c r="BX221" s="155"/>
      <c r="BY221" s="155"/>
      <c r="BZ221" s="155"/>
      <c r="CA221" s="155"/>
      <c r="CB221" s="155"/>
      <c r="CC221" s="155"/>
      <c r="CD221" s="155"/>
      <c r="CE221" s="155"/>
      <c r="CF221" s="155"/>
      <c r="CG221" s="155"/>
      <c r="CH221" s="155"/>
      <c r="CI221" s="155"/>
      <c r="CJ221" s="155"/>
      <c r="CK221" s="155"/>
      <c r="CL221" s="155"/>
      <c r="CM221" s="155"/>
      <c r="CN221" s="155"/>
      <c r="CO221" s="155"/>
      <c r="CP221" s="155"/>
      <c r="CQ221" s="155"/>
      <c r="CR221" s="155"/>
    </row>
    <row r="222" spans="1:96" x14ac:dyDescent="0.25">
      <c r="A222" s="174">
        <v>96</v>
      </c>
      <c r="B222" s="175" t="s">
        <v>342</v>
      </c>
      <c r="C222" s="176">
        <v>96</v>
      </c>
      <c r="D222" s="186" t="s">
        <v>177</v>
      </c>
      <c r="E222" s="178">
        <v>6.5</v>
      </c>
      <c r="F222" s="178">
        <v>0</v>
      </c>
      <c r="G222" s="178">
        <v>6.5</v>
      </c>
      <c r="H222" s="178">
        <v>0</v>
      </c>
      <c r="I222" s="178">
        <v>0</v>
      </c>
      <c r="J222" s="178">
        <v>8</v>
      </c>
      <c r="K222" s="178">
        <v>11</v>
      </c>
      <c r="L222" s="178"/>
      <c r="M222" s="178"/>
      <c r="N222" s="178"/>
      <c r="O222" s="178"/>
      <c r="P222" s="178"/>
      <c r="Q222" s="155"/>
      <c r="R222" s="155"/>
      <c r="S222" s="155"/>
      <c r="T222" s="155"/>
      <c r="U222" s="155"/>
      <c r="V222" s="155"/>
      <c r="W222" s="155"/>
      <c r="X222" s="155"/>
      <c r="Y222" s="155"/>
      <c r="Z222" s="155"/>
      <c r="AA222" s="155"/>
      <c r="AB222" s="155"/>
      <c r="AC222" s="155"/>
      <c r="AD222" s="155"/>
      <c r="AE222" s="155"/>
      <c r="AF222" s="155"/>
      <c r="AG222" s="155"/>
      <c r="AH222" s="155"/>
      <c r="AI222" s="155"/>
      <c r="AJ222" s="155"/>
      <c r="AK222" s="155"/>
      <c r="AL222" s="156"/>
      <c r="AM222" s="156"/>
      <c r="AN222" s="156"/>
      <c r="AO222" s="156"/>
      <c r="AP222" s="155"/>
      <c r="AQ222" s="155"/>
      <c r="AR222" s="155"/>
      <c r="AS222" s="155"/>
      <c r="AT222" s="155"/>
      <c r="AU222" s="155"/>
      <c r="AV222" s="155"/>
      <c r="AW222" s="155"/>
      <c r="AX222" s="155"/>
      <c r="AY222" s="155"/>
      <c r="AZ222" s="155"/>
      <c r="BA222" s="155"/>
      <c r="BB222" s="155"/>
      <c r="BC222" s="155"/>
      <c r="BD222" s="155"/>
      <c r="BE222" s="155"/>
      <c r="BF222" s="155"/>
      <c r="BG222" s="155"/>
      <c r="BH222" s="155"/>
      <c r="BI222" s="155"/>
      <c r="BJ222" s="155"/>
      <c r="BK222" s="155"/>
      <c r="BL222" s="155"/>
      <c r="BM222" s="155"/>
      <c r="BN222" s="155"/>
      <c r="BO222" s="155"/>
      <c r="BP222" s="155"/>
      <c r="BQ222" s="155"/>
      <c r="BR222" s="155"/>
      <c r="BS222" s="155"/>
      <c r="BT222" s="155"/>
      <c r="BU222" s="155"/>
      <c r="BV222" s="155"/>
      <c r="BW222" s="155"/>
      <c r="BX222" s="155"/>
      <c r="BY222" s="155"/>
      <c r="BZ222" s="155"/>
      <c r="CA222" s="155"/>
      <c r="CB222" s="155"/>
      <c r="CC222" s="155"/>
      <c r="CD222" s="155"/>
      <c r="CE222" s="155"/>
      <c r="CF222" s="155"/>
      <c r="CG222" s="155"/>
      <c r="CH222" s="155"/>
      <c r="CI222" s="155"/>
      <c r="CJ222" s="155"/>
      <c r="CK222" s="155"/>
      <c r="CL222" s="155"/>
      <c r="CM222" s="155"/>
      <c r="CN222" s="155"/>
      <c r="CO222" s="155"/>
      <c r="CP222" s="155"/>
      <c r="CQ222" s="155"/>
      <c r="CR222" s="155"/>
    </row>
    <row r="223" spans="1:96" x14ac:dyDescent="0.25">
      <c r="A223" s="179">
        <v>97</v>
      </c>
      <c r="B223" s="180" t="s">
        <v>341</v>
      </c>
      <c r="C223" s="181">
        <v>97</v>
      </c>
      <c r="D223" s="182" t="s">
        <v>295</v>
      </c>
      <c r="E223" s="183">
        <v>54</v>
      </c>
      <c r="F223" s="183">
        <v>20</v>
      </c>
      <c r="G223" s="183">
        <v>20.5</v>
      </c>
      <c r="H223" s="183">
        <v>16.5</v>
      </c>
      <c r="I223" s="183">
        <v>19.5</v>
      </c>
      <c r="J223" s="183">
        <v>22</v>
      </c>
      <c r="K223" s="183">
        <v>20.5</v>
      </c>
      <c r="L223" s="183"/>
      <c r="M223" s="183"/>
      <c r="N223" s="183"/>
      <c r="O223" s="183"/>
      <c r="P223" s="183"/>
      <c r="Q223" s="155"/>
      <c r="R223" s="155"/>
      <c r="S223" s="155"/>
      <c r="T223" s="155"/>
      <c r="U223" s="155"/>
      <c r="V223" s="155"/>
      <c r="W223" s="155"/>
      <c r="X223" s="155"/>
      <c r="Y223" s="155"/>
      <c r="Z223" s="155"/>
      <c r="AA223" s="155"/>
      <c r="AB223" s="155"/>
      <c r="AC223" s="155"/>
      <c r="AD223" s="155"/>
      <c r="AE223" s="155"/>
      <c r="AF223" s="155"/>
      <c r="AG223" s="155"/>
      <c r="AH223" s="155"/>
      <c r="AI223" s="155"/>
      <c r="AJ223" s="155"/>
      <c r="AK223" s="155"/>
      <c r="AL223" s="156"/>
      <c r="AM223" s="156"/>
      <c r="AN223" s="156"/>
      <c r="AO223" s="156"/>
      <c r="AP223" s="155"/>
      <c r="AQ223" s="155"/>
      <c r="AR223" s="155"/>
      <c r="AS223" s="155"/>
      <c r="AT223" s="155"/>
      <c r="AU223" s="155"/>
      <c r="AV223" s="155"/>
      <c r="AW223" s="155"/>
      <c r="AX223" s="155"/>
      <c r="AY223" s="155"/>
      <c r="AZ223" s="155"/>
      <c r="BA223" s="155"/>
      <c r="BB223" s="155"/>
      <c r="BC223" s="155"/>
      <c r="BD223" s="155"/>
      <c r="BE223" s="155"/>
      <c r="BF223" s="155"/>
      <c r="BG223" s="155"/>
      <c r="BH223" s="155"/>
      <c r="BI223" s="155"/>
      <c r="BJ223" s="155"/>
      <c r="BK223" s="155"/>
      <c r="BL223" s="155"/>
      <c r="BM223" s="155"/>
      <c r="BN223" s="155"/>
      <c r="BO223" s="155"/>
      <c r="BP223" s="155"/>
      <c r="BQ223" s="155"/>
      <c r="BR223" s="155"/>
      <c r="BS223" s="155"/>
      <c r="BT223" s="155"/>
      <c r="BU223" s="155"/>
      <c r="BV223" s="155"/>
      <c r="BW223" s="155"/>
      <c r="BX223" s="155"/>
      <c r="BY223" s="155"/>
      <c r="BZ223" s="155"/>
      <c r="CA223" s="155"/>
      <c r="CB223" s="155"/>
      <c r="CC223" s="155"/>
      <c r="CD223" s="155"/>
      <c r="CE223" s="155"/>
      <c r="CF223" s="155"/>
      <c r="CG223" s="155"/>
      <c r="CH223" s="155"/>
      <c r="CI223" s="155"/>
      <c r="CJ223" s="155"/>
      <c r="CK223" s="155"/>
      <c r="CL223" s="155"/>
      <c r="CM223" s="155"/>
      <c r="CN223" s="155"/>
      <c r="CO223" s="155"/>
      <c r="CP223" s="155"/>
      <c r="CQ223" s="155"/>
      <c r="CR223" s="155"/>
    </row>
    <row r="224" spans="1:96" x14ac:dyDescent="0.25">
      <c r="A224" s="174">
        <v>98</v>
      </c>
      <c r="B224" s="175" t="s">
        <v>335</v>
      </c>
      <c r="C224" s="176">
        <v>98</v>
      </c>
      <c r="D224" s="186" t="s">
        <v>176</v>
      </c>
      <c r="E224" s="178">
        <v>0</v>
      </c>
      <c r="F224" s="178">
        <v>0</v>
      </c>
      <c r="G224" s="178">
        <v>0</v>
      </c>
      <c r="H224" s="178">
        <v>0</v>
      </c>
      <c r="I224" s="178">
        <v>0</v>
      </c>
      <c r="J224" s="178">
        <v>0</v>
      </c>
      <c r="K224" s="178">
        <v>0</v>
      </c>
      <c r="L224" s="178"/>
      <c r="M224" s="178"/>
      <c r="N224" s="178"/>
      <c r="O224" s="178"/>
      <c r="P224" s="178"/>
      <c r="Q224" s="155"/>
      <c r="R224" s="155"/>
      <c r="S224" s="155"/>
      <c r="T224" s="155"/>
      <c r="U224" s="155"/>
      <c r="V224" s="155"/>
      <c r="W224" s="155"/>
      <c r="X224" s="155"/>
      <c r="Y224" s="155"/>
      <c r="Z224" s="155"/>
      <c r="AA224" s="155"/>
      <c r="AB224" s="155"/>
      <c r="AC224" s="155"/>
      <c r="AD224" s="155"/>
      <c r="AE224" s="155"/>
      <c r="AF224" s="155"/>
      <c r="AG224" s="155"/>
      <c r="AH224" s="155"/>
      <c r="AI224" s="155"/>
      <c r="AJ224" s="155"/>
      <c r="AK224" s="155"/>
      <c r="AL224" s="156"/>
      <c r="AM224" s="156"/>
      <c r="AN224" s="156"/>
      <c r="AO224" s="156"/>
      <c r="AP224" s="155"/>
      <c r="AQ224" s="155"/>
      <c r="AR224" s="155"/>
      <c r="AS224" s="155"/>
      <c r="AT224" s="155"/>
      <c r="AU224" s="155"/>
      <c r="AV224" s="155"/>
      <c r="AW224" s="155"/>
      <c r="AX224" s="155"/>
      <c r="AY224" s="155"/>
      <c r="AZ224" s="155"/>
      <c r="BA224" s="155"/>
      <c r="BB224" s="155"/>
      <c r="BC224" s="155"/>
      <c r="BD224" s="155"/>
      <c r="BE224" s="155"/>
      <c r="BF224" s="155"/>
      <c r="BG224" s="155"/>
      <c r="BH224" s="155"/>
      <c r="BI224" s="155"/>
      <c r="BJ224" s="155"/>
      <c r="BK224" s="155"/>
      <c r="BL224" s="155"/>
      <c r="BM224" s="155"/>
      <c r="BN224" s="155"/>
      <c r="BO224" s="155"/>
      <c r="BP224" s="155"/>
      <c r="BQ224" s="155"/>
      <c r="BR224" s="155"/>
      <c r="BS224" s="155"/>
      <c r="BT224" s="155"/>
      <c r="BU224" s="155"/>
      <c r="BV224" s="155"/>
      <c r="BW224" s="155"/>
      <c r="BX224" s="155"/>
      <c r="BY224" s="155"/>
      <c r="BZ224" s="155"/>
      <c r="CA224" s="155"/>
      <c r="CB224" s="155"/>
      <c r="CC224" s="155"/>
      <c r="CD224" s="155"/>
      <c r="CE224" s="155"/>
      <c r="CF224" s="155"/>
      <c r="CG224" s="155"/>
      <c r="CH224" s="155"/>
      <c r="CI224" s="155"/>
      <c r="CJ224" s="155"/>
      <c r="CK224" s="155"/>
      <c r="CL224" s="155"/>
      <c r="CM224" s="155"/>
      <c r="CN224" s="155"/>
      <c r="CO224" s="155"/>
      <c r="CP224" s="155"/>
      <c r="CQ224" s="155"/>
      <c r="CR224" s="155"/>
    </row>
    <row r="225" spans="1:96" x14ac:dyDescent="0.25">
      <c r="A225" s="179">
        <v>99</v>
      </c>
      <c r="B225" s="180" t="s">
        <v>341</v>
      </c>
      <c r="C225" s="181">
        <v>99</v>
      </c>
      <c r="D225" s="187" t="s">
        <v>175</v>
      </c>
      <c r="E225" s="183">
        <v>0</v>
      </c>
      <c r="F225" s="183">
        <v>0</v>
      </c>
      <c r="G225" s="183">
        <v>0</v>
      </c>
      <c r="H225" s="183">
        <v>0</v>
      </c>
      <c r="I225" s="183">
        <v>0</v>
      </c>
      <c r="J225" s="183">
        <v>1.5</v>
      </c>
      <c r="K225" s="183">
        <v>4.5</v>
      </c>
      <c r="L225" s="183"/>
      <c r="M225" s="183"/>
      <c r="N225" s="183"/>
      <c r="O225" s="183"/>
      <c r="P225" s="183"/>
      <c r="Q225" s="155"/>
      <c r="R225" s="155"/>
      <c r="S225" s="155"/>
      <c r="T225" s="155"/>
      <c r="U225" s="155"/>
      <c r="V225" s="155"/>
      <c r="W225" s="155"/>
      <c r="X225" s="155"/>
      <c r="Y225" s="155"/>
      <c r="Z225" s="155"/>
      <c r="AA225" s="155"/>
      <c r="AB225" s="155"/>
      <c r="AC225" s="155"/>
      <c r="AD225" s="155"/>
      <c r="AE225" s="155"/>
      <c r="AF225" s="155"/>
      <c r="AG225" s="155"/>
      <c r="AH225" s="155"/>
      <c r="AI225" s="155"/>
      <c r="AJ225" s="155"/>
      <c r="AK225" s="155"/>
      <c r="AL225" s="156"/>
      <c r="AM225" s="156"/>
      <c r="AN225" s="156"/>
      <c r="AO225" s="156"/>
      <c r="AP225" s="155"/>
      <c r="AQ225" s="155"/>
      <c r="AR225" s="155"/>
      <c r="AS225" s="155"/>
      <c r="AT225" s="155"/>
      <c r="AU225" s="155"/>
      <c r="AV225" s="155"/>
      <c r="AW225" s="155"/>
      <c r="AX225" s="155"/>
      <c r="AY225" s="155"/>
      <c r="AZ225" s="155"/>
      <c r="BA225" s="155"/>
      <c r="BB225" s="155"/>
      <c r="BC225" s="155"/>
      <c r="BD225" s="155"/>
      <c r="BE225" s="155"/>
      <c r="BF225" s="155"/>
      <c r="BG225" s="155"/>
      <c r="BH225" s="155"/>
      <c r="BI225" s="155"/>
      <c r="BJ225" s="155"/>
      <c r="BK225" s="155"/>
      <c r="BL225" s="155"/>
      <c r="BM225" s="155"/>
      <c r="BN225" s="155"/>
      <c r="BO225" s="155"/>
      <c r="BP225" s="155"/>
      <c r="BQ225" s="155"/>
      <c r="BR225" s="155"/>
      <c r="BS225" s="155"/>
      <c r="BT225" s="155"/>
      <c r="BU225" s="155"/>
      <c r="BV225" s="155"/>
      <c r="BW225" s="155"/>
      <c r="BX225" s="155"/>
      <c r="BY225" s="155"/>
      <c r="BZ225" s="155"/>
      <c r="CA225" s="155"/>
      <c r="CB225" s="155"/>
      <c r="CC225" s="155"/>
      <c r="CD225" s="155"/>
      <c r="CE225" s="155"/>
      <c r="CF225" s="155"/>
      <c r="CG225" s="155"/>
      <c r="CH225" s="155"/>
      <c r="CI225" s="155"/>
      <c r="CJ225" s="155"/>
      <c r="CK225" s="155"/>
      <c r="CL225" s="155"/>
      <c r="CM225" s="155"/>
      <c r="CN225" s="155"/>
      <c r="CO225" s="155"/>
      <c r="CP225" s="155"/>
      <c r="CQ225" s="155"/>
      <c r="CR225" s="155"/>
    </row>
    <row r="226" spans="1:96" x14ac:dyDescent="0.25">
      <c r="A226" s="174">
        <v>100</v>
      </c>
      <c r="B226" s="175" t="s">
        <v>336</v>
      </c>
      <c r="C226" s="176">
        <v>100</v>
      </c>
      <c r="D226" s="186" t="s">
        <v>174</v>
      </c>
      <c r="E226" s="178">
        <v>1</v>
      </c>
      <c r="F226" s="178">
        <v>0.5</v>
      </c>
      <c r="G226" s="178">
        <v>0</v>
      </c>
      <c r="H226" s="178">
        <v>0</v>
      </c>
      <c r="I226" s="178">
        <v>0</v>
      </c>
      <c r="J226" s="178">
        <v>1</v>
      </c>
      <c r="K226" s="178">
        <v>0</v>
      </c>
      <c r="L226" s="178"/>
      <c r="M226" s="178"/>
      <c r="N226" s="178"/>
      <c r="O226" s="178"/>
      <c r="P226" s="178"/>
      <c r="Q226" s="155"/>
      <c r="R226" s="155"/>
      <c r="S226" s="155"/>
      <c r="T226" s="155"/>
      <c r="U226" s="155"/>
      <c r="V226" s="155"/>
      <c r="W226" s="155"/>
      <c r="X226" s="155"/>
      <c r="Y226" s="155"/>
      <c r="Z226" s="155"/>
      <c r="AA226" s="155"/>
      <c r="AB226" s="155"/>
      <c r="AC226" s="155"/>
      <c r="AD226" s="155"/>
      <c r="AE226" s="155"/>
      <c r="AF226" s="155"/>
      <c r="AG226" s="155"/>
      <c r="AH226" s="155"/>
      <c r="AI226" s="155"/>
      <c r="AJ226" s="155"/>
      <c r="AK226" s="155"/>
      <c r="AL226" s="156"/>
      <c r="AM226" s="156"/>
      <c r="AN226" s="156"/>
      <c r="AO226" s="156"/>
      <c r="AP226" s="155"/>
      <c r="AQ226" s="155"/>
      <c r="AR226" s="155"/>
      <c r="AS226" s="155"/>
      <c r="AT226" s="155"/>
      <c r="AU226" s="155"/>
      <c r="AV226" s="155"/>
      <c r="AW226" s="155"/>
      <c r="AX226" s="155"/>
      <c r="AY226" s="155"/>
      <c r="AZ226" s="155"/>
      <c r="BA226" s="155"/>
      <c r="BB226" s="155"/>
      <c r="BC226" s="155"/>
      <c r="BD226" s="155"/>
      <c r="BE226" s="155"/>
      <c r="BF226" s="155"/>
      <c r="BG226" s="155"/>
      <c r="BH226" s="155"/>
      <c r="BI226" s="155"/>
      <c r="BJ226" s="155"/>
      <c r="BK226" s="155"/>
      <c r="BL226" s="155"/>
      <c r="BM226" s="155"/>
      <c r="BN226" s="155"/>
      <c r="BO226" s="155"/>
      <c r="BP226" s="155"/>
      <c r="BQ226" s="155"/>
      <c r="BR226" s="155"/>
      <c r="BS226" s="155"/>
      <c r="BT226" s="155"/>
      <c r="BU226" s="155"/>
      <c r="BV226" s="155"/>
      <c r="BW226" s="155"/>
      <c r="BX226" s="155"/>
      <c r="BY226" s="155"/>
      <c r="BZ226" s="155"/>
      <c r="CA226" s="155"/>
      <c r="CB226" s="155"/>
      <c r="CC226" s="155"/>
      <c r="CD226" s="155"/>
      <c r="CE226" s="155"/>
      <c r="CF226" s="155"/>
      <c r="CG226" s="155"/>
      <c r="CH226" s="155"/>
      <c r="CI226" s="155"/>
      <c r="CJ226" s="155"/>
      <c r="CK226" s="155"/>
      <c r="CL226" s="155"/>
      <c r="CM226" s="155"/>
      <c r="CN226" s="155"/>
      <c r="CO226" s="155"/>
      <c r="CP226" s="155"/>
      <c r="CQ226" s="155"/>
      <c r="CR226" s="155"/>
    </row>
    <row r="227" spans="1:96" x14ac:dyDescent="0.25">
      <c r="A227" s="179">
        <v>101</v>
      </c>
      <c r="B227" s="180" t="s">
        <v>342</v>
      </c>
      <c r="C227" s="181">
        <v>101</v>
      </c>
      <c r="D227" s="187" t="s">
        <v>173</v>
      </c>
      <c r="E227" s="183">
        <v>0</v>
      </c>
      <c r="F227" s="183">
        <v>0</v>
      </c>
      <c r="G227" s="183">
        <v>0</v>
      </c>
      <c r="H227" s="183">
        <v>0</v>
      </c>
      <c r="I227" s="183">
        <v>0</v>
      </c>
      <c r="J227" s="183">
        <v>9.5</v>
      </c>
      <c r="K227" s="183">
        <v>12.5</v>
      </c>
      <c r="L227" s="183"/>
      <c r="M227" s="183"/>
      <c r="N227" s="183"/>
      <c r="O227" s="183"/>
      <c r="P227" s="183"/>
      <c r="Q227" s="155"/>
      <c r="R227" s="155"/>
      <c r="S227" s="155"/>
      <c r="T227" s="155"/>
      <c r="U227" s="155"/>
      <c r="V227" s="155"/>
      <c r="W227" s="155"/>
      <c r="X227" s="155"/>
      <c r="Y227" s="155"/>
      <c r="Z227" s="155"/>
      <c r="AA227" s="155"/>
      <c r="AB227" s="155"/>
      <c r="AC227" s="155"/>
      <c r="AD227" s="155"/>
      <c r="AE227" s="155"/>
      <c r="AF227" s="155"/>
      <c r="AG227" s="155"/>
      <c r="AH227" s="155"/>
      <c r="AI227" s="155"/>
      <c r="AJ227" s="155"/>
      <c r="AK227" s="155"/>
      <c r="AL227" s="156"/>
      <c r="AM227" s="156"/>
      <c r="AN227" s="156"/>
      <c r="AO227" s="156"/>
      <c r="AP227" s="155"/>
      <c r="AQ227" s="155"/>
      <c r="AR227" s="155"/>
      <c r="AS227" s="155"/>
      <c r="AT227" s="155"/>
      <c r="AU227" s="155"/>
      <c r="AV227" s="155"/>
      <c r="AW227" s="155"/>
      <c r="AX227" s="155"/>
      <c r="AY227" s="155"/>
      <c r="AZ227" s="155"/>
      <c r="BA227" s="155"/>
      <c r="BB227" s="155"/>
      <c r="BC227" s="155"/>
      <c r="BD227" s="155"/>
      <c r="BE227" s="155"/>
      <c r="BF227" s="155"/>
      <c r="BG227" s="155"/>
      <c r="BH227" s="155"/>
      <c r="BI227" s="155"/>
      <c r="BJ227" s="155"/>
      <c r="BK227" s="155"/>
      <c r="BL227" s="155"/>
      <c r="BM227" s="155"/>
      <c r="BN227" s="155"/>
      <c r="BO227" s="155"/>
      <c r="BP227" s="155"/>
      <c r="BQ227" s="155"/>
      <c r="BR227" s="155"/>
      <c r="BS227" s="155"/>
      <c r="BT227" s="155"/>
      <c r="BU227" s="155"/>
      <c r="BV227" s="155"/>
      <c r="BW227" s="155"/>
      <c r="BX227" s="155"/>
      <c r="BY227" s="155"/>
      <c r="BZ227" s="155"/>
      <c r="CA227" s="155"/>
      <c r="CB227" s="155"/>
      <c r="CC227" s="155"/>
      <c r="CD227" s="155"/>
      <c r="CE227" s="155"/>
      <c r="CF227" s="155"/>
      <c r="CG227" s="155"/>
      <c r="CH227" s="155"/>
      <c r="CI227" s="155"/>
      <c r="CJ227" s="155"/>
      <c r="CK227" s="155"/>
      <c r="CL227" s="155"/>
      <c r="CM227" s="155"/>
      <c r="CN227" s="155"/>
      <c r="CO227" s="155"/>
      <c r="CP227" s="155"/>
      <c r="CQ227" s="155"/>
      <c r="CR227" s="155"/>
    </row>
    <row r="228" spans="1:96" x14ac:dyDescent="0.25">
      <c r="A228" s="174">
        <v>102</v>
      </c>
      <c r="B228" s="175" t="s">
        <v>335</v>
      </c>
      <c r="C228" s="176">
        <v>102</v>
      </c>
      <c r="D228" s="186" t="s">
        <v>135</v>
      </c>
      <c r="E228" s="178">
        <v>4.5</v>
      </c>
      <c r="F228" s="178">
        <v>0</v>
      </c>
      <c r="G228" s="178">
        <v>0</v>
      </c>
      <c r="H228" s="178">
        <v>0</v>
      </c>
      <c r="I228" s="178">
        <v>0</v>
      </c>
      <c r="J228" s="178">
        <v>9.5</v>
      </c>
      <c r="K228" s="178">
        <v>9.5</v>
      </c>
      <c r="L228" s="178"/>
      <c r="M228" s="178"/>
      <c r="N228" s="178"/>
      <c r="O228" s="178"/>
      <c r="P228" s="178"/>
      <c r="Q228" s="155"/>
      <c r="R228" s="155"/>
      <c r="S228" s="155"/>
      <c r="T228" s="155"/>
      <c r="U228" s="155"/>
      <c r="V228" s="155"/>
      <c r="W228" s="155"/>
      <c r="X228" s="155"/>
      <c r="Y228" s="155"/>
      <c r="Z228" s="155"/>
      <c r="AA228" s="155"/>
      <c r="AB228" s="155"/>
      <c r="AC228" s="155"/>
      <c r="AD228" s="155"/>
      <c r="AE228" s="155"/>
      <c r="AF228" s="155"/>
      <c r="AG228" s="155"/>
      <c r="AH228" s="155"/>
      <c r="AI228" s="155"/>
      <c r="AJ228" s="155"/>
      <c r="AK228" s="155"/>
      <c r="AL228" s="156"/>
      <c r="AM228" s="156"/>
      <c r="AN228" s="156"/>
      <c r="AO228" s="156"/>
      <c r="AP228" s="155"/>
      <c r="AQ228" s="155"/>
      <c r="AR228" s="155"/>
      <c r="AS228" s="155"/>
      <c r="AT228" s="155"/>
      <c r="AU228" s="155"/>
      <c r="AV228" s="155"/>
      <c r="AW228" s="155"/>
      <c r="AX228" s="155"/>
      <c r="AY228" s="155"/>
      <c r="AZ228" s="155"/>
      <c r="BA228" s="155"/>
      <c r="BB228" s="155"/>
      <c r="BC228" s="155"/>
      <c r="BD228" s="155"/>
      <c r="BE228" s="155"/>
      <c r="BF228" s="155"/>
      <c r="BG228" s="155"/>
      <c r="BH228" s="155"/>
      <c r="BI228" s="155"/>
      <c r="BJ228" s="155"/>
      <c r="BK228" s="155"/>
      <c r="BL228" s="155"/>
      <c r="BM228" s="155"/>
      <c r="BN228" s="155"/>
      <c r="BO228" s="155"/>
      <c r="BP228" s="155"/>
      <c r="BQ228" s="155"/>
      <c r="BR228" s="155"/>
      <c r="BS228" s="155"/>
      <c r="BT228" s="155"/>
      <c r="BU228" s="155"/>
      <c r="BV228" s="155"/>
      <c r="BW228" s="155"/>
      <c r="BX228" s="155"/>
      <c r="BY228" s="155"/>
      <c r="BZ228" s="155"/>
      <c r="CA228" s="155"/>
      <c r="CB228" s="155"/>
      <c r="CC228" s="155"/>
      <c r="CD228" s="155"/>
      <c r="CE228" s="155"/>
      <c r="CF228" s="155"/>
      <c r="CG228" s="155"/>
      <c r="CH228" s="155"/>
      <c r="CI228" s="155"/>
      <c r="CJ228" s="155"/>
      <c r="CK228" s="155"/>
      <c r="CL228" s="155"/>
      <c r="CM228" s="155"/>
      <c r="CN228" s="155"/>
      <c r="CO228" s="155"/>
      <c r="CP228" s="155"/>
      <c r="CQ228" s="155"/>
      <c r="CR228" s="155"/>
    </row>
    <row r="229" spans="1:96" x14ac:dyDescent="0.25">
      <c r="A229" s="179">
        <v>103</v>
      </c>
      <c r="B229" s="180" t="s">
        <v>336</v>
      </c>
      <c r="C229" s="181">
        <v>103</v>
      </c>
      <c r="D229" s="187" t="s">
        <v>172</v>
      </c>
      <c r="E229" s="183">
        <v>12</v>
      </c>
      <c r="F229" s="183">
        <v>0.5</v>
      </c>
      <c r="G229" s="183">
        <v>11.5</v>
      </c>
      <c r="H229" s="183">
        <v>0</v>
      </c>
      <c r="I229" s="183">
        <v>0</v>
      </c>
      <c r="J229" s="183">
        <v>9.5</v>
      </c>
      <c r="K229" s="183">
        <v>9.5</v>
      </c>
      <c r="L229" s="183"/>
      <c r="M229" s="183"/>
      <c r="N229" s="183"/>
      <c r="O229" s="183"/>
      <c r="P229" s="183"/>
      <c r="Q229" s="155"/>
      <c r="R229" s="155"/>
      <c r="S229" s="155"/>
      <c r="T229" s="155"/>
      <c r="U229" s="155"/>
      <c r="V229" s="155"/>
      <c r="W229" s="155"/>
      <c r="X229" s="155"/>
      <c r="Y229" s="155"/>
      <c r="Z229" s="155"/>
      <c r="AA229" s="155"/>
      <c r="AB229" s="155"/>
      <c r="AC229" s="155"/>
      <c r="AD229" s="155"/>
      <c r="AE229" s="155"/>
      <c r="AF229" s="155"/>
      <c r="AG229" s="155"/>
      <c r="AH229" s="155"/>
      <c r="AI229" s="155"/>
      <c r="AJ229" s="155"/>
      <c r="AK229" s="155"/>
      <c r="AL229" s="156"/>
      <c r="AM229" s="156"/>
      <c r="AN229" s="156"/>
      <c r="AO229" s="156"/>
      <c r="AP229" s="155"/>
      <c r="AQ229" s="155"/>
      <c r="AR229" s="155"/>
      <c r="AS229" s="155"/>
      <c r="AT229" s="155"/>
      <c r="AU229" s="155"/>
      <c r="AV229" s="155"/>
      <c r="AW229" s="155"/>
      <c r="AX229" s="155"/>
      <c r="AY229" s="155"/>
      <c r="AZ229" s="155"/>
      <c r="BA229" s="155"/>
      <c r="BB229" s="155"/>
      <c r="BC229" s="155"/>
      <c r="BD229" s="155"/>
      <c r="BE229" s="155"/>
      <c r="BF229" s="155"/>
      <c r="BG229" s="155"/>
      <c r="BH229" s="155"/>
      <c r="BI229" s="155"/>
      <c r="BJ229" s="155"/>
      <c r="BK229" s="155"/>
      <c r="BL229" s="155"/>
      <c r="BM229" s="155"/>
      <c r="BN229" s="155"/>
      <c r="BO229" s="155"/>
      <c r="BP229" s="155"/>
      <c r="BQ229" s="155"/>
      <c r="BR229" s="155"/>
      <c r="BS229" s="155"/>
      <c r="BT229" s="155"/>
      <c r="BU229" s="155"/>
      <c r="BV229" s="155"/>
      <c r="BW229" s="155"/>
      <c r="BX229" s="155"/>
      <c r="BY229" s="155"/>
      <c r="BZ229" s="155"/>
      <c r="CA229" s="155"/>
      <c r="CB229" s="155"/>
      <c r="CC229" s="155"/>
      <c r="CD229" s="155"/>
      <c r="CE229" s="155"/>
      <c r="CF229" s="155"/>
      <c r="CG229" s="155"/>
      <c r="CH229" s="155"/>
      <c r="CI229" s="155"/>
      <c r="CJ229" s="155"/>
      <c r="CK229" s="155"/>
      <c r="CL229" s="155"/>
      <c r="CM229" s="155"/>
      <c r="CN229" s="155"/>
      <c r="CO229" s="155"/>
      <c r="CP229" s="155"/>
      <c r="CQ229" s="155"/>
      <c r="CR229" s="155"/>
    </row>
    <row r="230" spans="1:96" x14ac:dyDescent="0.25">
      <c r="A230" s="174">
        <v>104</v>
      </c>
      <c r="B230" s="175" t="s">
        <v>334</v>
      </c>
      <c r="C230" s="176">
        <v>104</v>
      </c>
      <c r="D230" s="186" t="s">
        <v>171</v>
      </c>
      <c r="E230" s="178">
        <v>32</v>
      </c>
      <c r="F230" s="178">
        <v>13.5</v>
      </c>
      <c r="G230" s="178">
        <v>8.5</v>
      </c>
      <c r="H230" s="178">
        <v>0</v>
      </c>
      <c r="I230" s="178">
        <v>0</v>
      </c>
      <c r="J230" s="178">
        <v>1.5</v>
      </c>
      <c r="K230" s="178">
        <v>2.5</v>
      </c>
      <c r="L230" s="178"/>
      <c r="M230" s="178"/>
      <c r="N230" s="178"/>
      <c r="O230" s="178"/>
      <c r="P230" s="178"/>
      <c r="Q230" s="155"/>
      <c r="R230" s="155"/>
      <c r="S230" s="155"/>
      <c r="T230" s="155"/>
      <c r="U230" s="155"/>
      <c r="V230" s="155"/>
      <c r="W230" s="155"/>
      <c r="X230" s="155"/>
      <c r="Y230" s="155"/>
      <c r="Z230" s="155"/>
      <c r="AA230" s="155"/>
      <c r="AB230" s="155"/>
      <c r="AC230" s="155"/>
      <c r="AD230" s="155"/>
      <c r="AE230" s="155"/>
      <c r="AF230" s="155"/>
      <c r="AG230" s="155"/>
      <c r="AH230" s="155"/>
      <c r="AI230" s="155"/>
      <c r="AJ230" s="155"/>
      <c r="AK230" s="155"/>
      <c r="AL230" s="156"/>
      <c r="AM230" s="156"/>
      <c r="AN230" s="156"/>
      <c r="AO230" s="156"/>
      <c r="AP230" s="155"/>
      <c r="AQ230" s="155"/>
      <c r="AR230" s="155"/>
      <c r="AS230" s="155"/>
      <c r="AT230" s="155"/>
      <c r="AU230" s="155"/>
      <c r="AV230" s="155"/>
      <c r="AW230" s="155"/>
      <c r="AX230" s="155"/>
      <c r="AY230" s="155"/>
      <c r="AZ230" s="155"/>
      <c r="BA230" s="155"/>
      <c r="BB230" s="155"/>
      <c r="BC230" s="155"/>
      <c r="BD230" s="155"/>
      <c r="BE230" s="155"/>
      <c r="BF230" s="155"/>
      <c r="BG230" s="155"/>
      <c r="BH230" s="155"/>
      <c r="BI230" s="155"/>
      <c r="BJ230" s="155"/>
      <c r="BK230" s="155"/>
      <c r="BL230" s="155"/>
      <c r="BM230" s="155"/>
      <c r="BN230" s="155"/>
      <c r="BO230" s="155"/>
      <c r="BP230" s="155"/>
      <c r="BQ230" s="155"/>
      <c r="BR230" s="155"/>
      <c r="BS230" s="155"/>
      <c r="BT230" s="155"/>
      <c r="BU230" s="155"/>
      <c r="BV230" s="155"/>
      <c r="BW230" s="155"/>
      <c r="BX230" s="155"/>
      <c r="BY230" s="155"/>
      <c r="BZ230" s="155"/>
      <c r="CA230" s="155"/>
      <c r="CB230" s="155"/>
      <c r="CC230" s="155"/>
      <c r="CD230" s="155"/>
      <c r="CE230" s="155"/>
      <c r="CF230" s="155"/>
      <c r="CG230" s="155"/>
      <c r="CH230" s="155"/>
      <c r="CI230" s="155"/>
      <c r="CJ230" s="155"/>
      <c r="CK230" s="155"/>
      <c r="CL230" s="155"/>
      <c r="CM230" s="155"/>
      <c r="CN230" s="155"/>
      <c r="CO230" s="155"/>
      <c r="CP230" s="155"/>
      <c r="CQ230" s="155"/>
      <c r="CR230" s="155"/>
    </row>
    <row r="231" spans="1:96" x14ac:dyDescent="0.25">
      <c r="A231" s="179">
        <v>105</v>
      </c>
      <c r="B231" s="180" t="s">
        <v>335</v>
      </c>
      <c r="C231" s="181">
        <v>105</v>
      </c>
      <c r="D231" s="187" t="s">
        <v>136</v>
      </c>
      <c r="E231" s="183">
        <v>31.5</v>
      </c>
      <c r="F231" s="183">
        <v>12</v>
      </c>
      <c r="G231" s="183">
        <v>9.5</v>
      </c>
      <c r="H231" s="183">
        <v>0</v>
      </c>
      <c r="I231" s="183">
        <v>0</v>
      </c>
      <c r="J231" s="183">
        <v>8</v>
      </c>
      <c r="K231" s="183">
        <v>2.5</v>
      </c>
      <c r="L231" s="183"/>
      <c r="M231" s="183"/>
      <c r="N231" s="183"/>
      <c r="O231" s="183"/>
      <c r="P231" s="183"/>
      <c r="Q231" s="155"/>
      <c r="R231" s="155"/>
      <c r="S231" s="155"/>
      <c r="T231" s="155"/>
      <c r="U231" s="155"/>
      <c r="V231" s="155"/>
      <c r="W231" s="155"/>
      <c r="X231" s="155"/>
      <c r="Y231" s="155"/>
      <c r="Z231" s="155"/>
      <c r="AA231" s="155"/>
      <c r="AB231" s="155"/>
      <c r="AC231" s="155"/>
      <c r="AD231" s="155"/>
      <c r="AE231" s="155"/>
      <c r="AF231" s="155"/>
      <c r="AG231" s="155"/>
      <c r="AH231" s="155"/>
      <c r="AI231" s="155"/>
      <c r="AJ231" s="155"/>
      <c r="AK231" s="155"/>
      <c r="AL231" s="156"/>
      <c r="AM231" s="156"/>
      <c r="AN231" s="156"/>
      <c r="AO231" s="156"/>
      <c r="AP231" s="155"/>
      <c r="AQ231" s="155"/>
      <c r="AR231" s="155"/>
      <c r="AS231" s="155"/>
      <c r="AT231" s="155"/>
      <c r="AU231" s="155"/>
      <c r="AV231" s="155"/>
      <c r="AW231" s="155"/>
      <c r="AX231" s="155"/>
      <c r="AY231" s="155"/>
      <c r="AZ231" s="155"/>
      <c r="BA231" s="155"/>
      <c r="BB231" s="155"/>
      <c r="BC231" s="155"/>
      <c r="BD231" s="155"/>
      <c r="BE231" s="155"/>
      <c r="BF231" s="155"/>
      <c r="BG231" s="155"/>
      <c r="BH231" s="155"/>
      <c r="BI231" s="155"/>
      <c r="BJ231" s="155"/>
      <c r="BK231" s="155"/>
      <c r="BL231" s="155"/>
      <c r="BM231" s="155"/>
      <c r="BN231" s="155"/>
      <c r="BO231" s="155"/>
      <c r="BP231" s="155"/>
      <c r="BQ231" s="155"/>
      <c r="BR231" s="155"/>
      <c r="BS231" s="155"/>
      <c r="BT231" s="155"/>
      <c r="BU231" s="155"/>
      <c r="BV231" s="155"/>
      <c r="BW231" s="155"/>
      <c r="BX231" s="155"/>
      <c r="BY231" s="155"/>
      <c r="BZ231" s="155"/>
      <c r="CA231" s="155"/>
      <c r="CB231" s="155"/>
      <c r="CC231" s="155"/>
      <c r="CD231" s="155"/>
      <c r="CE231" s="155"/>
      <c r="CF231" s="155"/>
      <c r="CG231" s="155"/>
      <c r="CH231" s="155"/>
      <c r="CI231" s="155"/>
      <c r="CJ231" s="155"/>
      <c r="CK231" s="155"/>
      <c r="CL231" s="155"/>
      <c r="CM231" s="155"/>
      <c r="CN231" s="155"/>
      <c r="CO231" s="155"/>
      <c r="CP231" s="155"/>
      <c r="CQ231" s="155"/>
      <c r="CR231" s="155"/>
    </row>
    <row r="232" spans="1:96" x14ac:dyDescent="0.25">
      <c r="A232" s="174">
        <v>106</v>
      </c>
      <c r="B232" s="175" t="s">
        <v>344</v>
      </c>
      <c r="C232" s="176">
        <v>106</v>
      </c>
      <c r="D232" s="186" t="s">
        <v>137</v>
      </c>
      <c r="E232" s="178">
        <v>24</v>
      </c>
      <c r="F232" s="178">
        <v>10.5</v>
      </c>
      <c r="G232" s="178">
        <v>5.5</v>
      </c>
      <c r="H232" s="178">
        <v>0</v>
      </c>
      <c r="I232" s="178">
        <v>0</v>
      </c>
      <c r="J232" s="178">
        <v>4</v>
      </c>
      <c r="K232" s="178">
        <v>0</v>
      </c>
      <c r="L232" s="178"/>
      <c r="M232" s="178"/>
      <c r="N232" s="178"/>
      <c r="O232" s="178"/>
      <c r="P232" s="178"/>
      <c r="Q232" s="155"/>
      <c r="R232" s="155"/>
      <c r="S232" s="155"/>
      <c r="T232" s="155"/>
      <c r="U232" s="155"/>
      <c r="V232" s="155"/>
      <c r="W232" s="155"/>
      <c r="X232" s="155"/>
      <c r="Y232" s="155"/>
      <c r="Z232" s="155"/>
      <c r="AA232" s="155"/>
      <c r="AB232" s="155"/>
      <c r="AC232" s="155"/>
      <c r="AD232" s="155"/>
      <c r="AE232" s="155"/>
      <c r="AF232" s="155"/>
      <c r="AG232" s="155"/>
      <c r="AH232" s="155"/>
      <c r="AI232" s="155"/>
      <c r="AJ232" s="155"/>
      <c r="AK232" s="155"/>
      <c r="AL232" s="156"/>
      <c r="AM232" s="156"/>
      <c r="AN232" s="156"/>
      <c r="AO232" s="156"/>
      <c r="AP232" s="155"/>
      <c r="AQ232" s="155"/>
      <c r="AR232" s="155"/>
      <c r="AS232" s="155"/>
      <c r="AT232" s="155"/>
      <c r="AU232" s="155"/>
      <c r="AV232" s="155"/>
      <c r="AW232" s="155"/>
      <c r="AX232" s="155"/>
      <c r="AY232" s="155"/>
      <c r="AZ232" s="155"/>
      <c r="BA232" s="155"/>
      <c r="BB232" s="155"/>
      <c r="BC232" s="155"/>
      <c r="BD232" s="155"/>
      <c r="BE232" s="155"/>
      <c r="BF232" s="155"/>
      <c r="BG232" s="155"/>
      <c r="BH232" s="155"/>
      <c r="BI232" s="155"/>
      <c r="BJ232" s="155"/>
      <c r="BK232" s="155"/>
      <c r="BL232" s="155"/>
      <c r="BM232" s="155"/>
      <c r="BN232" s="155"/>
      <c r="BO232" s="155"/>
      <c r="BP232" s="155"/>
      <c r="BQ232" s="155"/>
      <c r="BR232" s="155"/>
      <c r="BS232" s="155"/>
      <c r="BT232" s="155"/>
      <c r="BU232" s="155"/>
      <c r="BV232" s="155"/>
      <c r="BW232" s="155"/>
      <c r="BX232" s="155"/>
      <c r="BY232" s="155"/>
      <c r="BZ232" s="155"/>
      <c r="CA232" s="155"/>
      <c r="CB232" s="155"/>
      <c r="CC232" s="155"/>
      <c r="CD232" s="155"/>
      <c r="CE232" s="155"/>
      <c r="CF232" s="155"/>
      <c r="CG232" s="155"/>
      <c r="CH232" s="155"/>
      <c r="CI232" s="155"/>
      <c r="CJ232" s="155"/>
      <c r="CK232" s="155"/>
      <c r="CL232" s="155"/>
      <c r="CM232" s="155"/>
      <c r="CN232" s="155"/>
      <c r="CO232" s="155"/>
      <c r="CP232" s="155"/>
      <c r="CQ232" s="155"/>
      <c r="CR232" s="155"/>
    </row>
    <row r="233" spans="1:96" x14ac:dyDescent="0.25">
      <c r="A233" s="179">
        <v>107</v>
      </c>
      <c r="B233" s="180" t="s">
        <v>333</v>
      </c>
      <c r="C233" s="181">
        <v>107</v>
      </c>
      <c r="D233" s="187" t="s">
        <v>170</v>
      </c>
      <c r="E233" s="183">
        <v>52.5</v>
      </c>
      <c r="F233" s="183">
        <v>20</v>
      </c>
      <c r="G233" s="183">
        <v>19</v>
      </c>
      <c r="H233" s="183">
        <v>2.5</v>
      </c>
      <c r="I233" s="183">
        <v>0</v>
      </c>
      <c r="J233" s="183">
        <v>12</v>
      </c>
      <c r="K233" s="183">
        <v>19</v>
      </c>
      <c r="L233" s="183"/>
      <c r="M233" s="183"/>
      <c r="N233" s="183"/>
      <c r="O233" s="183"/>
      <c r="P233" s="183"/>
      <c r="Q233" s="155"/>
      <c r="R233" s="155"/>
      <c r="S233" s="155"/>
      <c r="T233" s="155"/>
      <c r="U233" s="155"/>
      <c r="V233" s="155"/>
      <c r="W233" s="155"/>
      <c r="X233" s="155"/>
      <c r="Y233" s="155"/>
      <c r="Z233" s="155"/>
      <c r="AA233" s="155"/>
      <c r="AB233" s="155"/>
      <c r="AC233" s="155"/>
      <c r="AD233" s="155"/>
      <c r="AE233" s="155"/>
      <c r="AF233" s="155"/>
      <c r="AG233" s="155"/>
      <c r="AH233" s="155"/>
      <c r="AI233" s="155"/>
      <c r="AJ233" s="155"/>
      <c r="AK233" s="155"/>
      <c r="AL233" s="156"/>
      <c r="AM233" s="156"/>
      <c r="AN233" s="156"/>
      <c r="AO233" s="156"/>
      <c r="AP233" s="155"/>
      <c r="AQ233" s="155"/>
      <c r="AR233" s="155"/>
      <c r="AS233" s="155"/>
      <c r="AT233" s="155"/>
      <c r="AU233" s="155"/>
      <c r="AV233" s="155"/>
      <c r="AW233" s="155"/>
      <c r="AX233" s="155"/>
      <c r="AY233" s="155"/>
      <c r="AZ233" s="155"/>
      <c r="BA233" s="155"/>
      <c r="BB233" s="155"/>
      <c r="BC233" s="155"/>
      <c r="BD233" s="155"/>
      <c r="BE233" s="155"/>
      <c r="BF233" s="155"/>
      <c r="BG233" s="155"/>
      <c r="BH233" s="155"/>
      <c r="BI233" s="155"/>
      <c r="BJ233" s="155"/>
      <c r="BK233" s="155"/>
      <c r="BL233" s="155"/>
      <c r="BM233" s="155"/>
      <c r="BN233" s="155"/>
      <c r="BO233" s="155"/>
      <c r="BP233" s="155"/>
      <c r="BQ233" s="155"/>
      <c r="BR233" s="155"/>
      <c r="BS233" s="155"/>
      <c r="BT233" s="155"/>
      <c r="BU233" s="155"/>
      <c r="BV233" s="155"/>
      <c r="BW233" s="155"/>
      <c r="BX233" s="155"/>
      <c r="BY233" s="155"/>
      <c r="BZ233" s="155"/>
      <c r="CA233" s="155"/>
      <c r="CB233" s="155"/>
      <c r="CC233" s="155"/>
      <c r="CD233" s="155"/>
      <c r="CE233" s="155"/>
      <c r="CF233" s="155"/>
      <c r="CG233" s="155"/>
      <c r="CH233" s="155"/>
      <c r="CI233" s="155"/>
      <c r="CJ233" s="155"/>
      <c r="CK233" s="155"/>
      <c r="CL233" s="155"/>
      <c r="CM233" s="155"/>
      <c r="CN233" s="155"/>
      <c r="CO233" s="155"/>
      <c r="CP233" s="155"/>
      <c r="CQ233" s="155"/>
      <c r="CR233" s="155"/>
    </row>
    <row r="234" spans="1:96" x14ac:dyDescent="0.25">
      <c r="A234" s="174">
        <v>108</v>
      </c>
      <c r="B234" s="175" t="s">
        <v>334</v>
      </c>
      <c r="C234" s="176">
        <v>108</v>
      </c>
      <c r="D234" s="186" t="s">
        <v>169</v>
      </c>
      <c r="E234" s="178">
        <v>39.5</v>
      </c>
      <c r="F234" s="178">
        <v>15.5</v>
      </c>
      <c r="G234" s="178">
        <v>12.5</v>
      </c>
      <c r="H234" s="178">
        <v>4.5</v>
      </c>
      <c r="I234" s="178">
        <v>7</v>
      </c>
      <c r="J234" s="178">
        <v>9.5</v>
      </c>
      <c r="K234" s="178">
        <v>13</v>
      </c>
      <c r="L234" s="178"/>
      <c r="M234" s="178"/>
      <c r="N234" s="178"/>
      <c r="O234" s="178"/>
      <c r="P234" s="178"/>
      <c r="Q234" s="155"/>
      <c r="R234" s="155"/>
      <c r="S234" s="155"/>
      <c r="T234" s="155"/>
      <c r="U234" s="155"/>
      <c r="V234" s="155"/>
      <c r="W234" s="155"/>
      <c r="X234" s="155"/>
      <c r="Y234" s="155"/>
      <c r="Z234" s="155"/>
      <c r="AA234" s="155"/>
      <c r="AB234" s="155"/>
      <c r="AC234" s="155"/>
      <c r="AD234" s="155"/>
      <c r="AE234" s="155"/>
      <c r="AF234" s="155"/>
      <c r="AG234" s="155"/>
      <c r="AH234" s="155"/>
      <c r="AI234" s="155"/>
      <c r="AJ234" s="155"/>
      <c r="AK234" s="155"/>
      <c r="AL234" s="156"/>
      <c r="AM234" s="156"/>
      <c r="AN234" s="156"/>
      <c r="AO234" s="156"/>
      <c r="AP234" s="155"/>
      <c r="AQ234" s="155"/>
      <c r="AR234" s="155"/>
      <c r="AS234" s="155"/>
      <c r="AT234" s="155"/>
      <c r="AU234" s="155"/>
      <c r="AV234" s="155"/>
      <c r="AW234" s="155"/>
      <c r="AX234" s="155"/>
      <c r="AY234" s="155"/>
      <c r="AZ234" s="155"/>
      <c r="BA234" s="155"/>
      <c r="BB234" s="155"/>
      <c r="BC234" s="155"/>
      <c r="BD234" s="155"/>
      <c r="BE234" s="155"/>
      <c r="BF234" s="155"/>
      <c r="BG234" s="155"/>
      <c r="BH234" s="155"/>
      <c r="BI234" s="155"/>
      <c r="BJ234" s="155"/>
      <c r="BK234" s="155"/>
      <c r="BL234" s="155"/>
      <c r="BM234" s="155"/>
      <c r="BN234" s="155"/>
      <c r="BO234" s="155"/>
      <c r="BP234" s="155"/>
      <c r="BQ234" s="155"/>
      <c r="BR234" s="155"/>
      <c r="BS234" s="155"/>
      <c r="BT234" s="155"/>
      <c r="BU234" s="155"/>
      <c r="BV234" s="155"/>
      <c r="BW234" s="155"/>
      <c r="BX234" s="155"/>
      <c r="BY234" s="155"/>
      <c r="BZ234" s="155"/>
      <c r="CA234" s="155"/>
      <c r="CB234" s="155"/>
      <c r="CC234" s="155"/>
      <c r="CD234" s="155"/>
      <c r="CE234" s="155"/>
      <c r="CF234" s="155"/>
      <c r="CG234" s="155"/>
      <c r="CH234" s="155"/>
      <c r="CI234" s="155"/>
      <c r="CJ234" s="155"/>
      <c r="CK234" s="155"/>
      <c r="CL234" s="155"/>
      <c r="CM234" s="155"/>
      <c r="CN234" s="155"/>
      <c r="CO234" s="155"/>
      <c r="CP234" s="155"/>
      <c r="CQ234" s="155"/>
      <c r="CR234" s="155"/>
    </row>
    <row r="235" spans="1:96" x14ac:dyDescent="0.25">
      <c r="A235" s="179">
        <v>110</v>
      </c>
      <c r="B235" s="185" t="s">
        <v>343</v>
      </c>
      <c r="C235" s="181">
        <v>110</v>
      </c>
      <c r="D235" s="187" t="s">
        <v>429</v>
      </c>
      <c r="E235" s="183">
        <v>0</v>
      </c>
      <c r="F235" s="183">
        <v>0</v>
      </c>
      <c r="G235" s="183">
        <v>0</v>
      </c>
      <c r="H235" s="183">
        <v>0</v>
      </c>
      <c r="I235" s="183">
        <v>0</v>
      </c>
      <c r="J235" s="183">
        <v>7.5</v>
      </c>
      <c r="K235" s="183">
        <v>21</v>
      </c>
      <c r="L235" s="183"/>
      <c r="M235" s="183"/>
      <c r="N235" s="183"/>
      <c r="O235" s="183"/>
      <c r="P235" s="183"/>
      <c r="Q235" s="155"/>
      <c r="R235" s="155"/>
      <c r="S235" s="155"/>
      <c r="T235" s="155"/>
      <c r="U235" s="155"/>
      <c r="V235" s="155"/>
      <c r="W235" s="155"/>
      <c r="X235" s="155"/>
      <c r="Y235" s="155"/>
      <c r="Z235" s="155"/>
      <c r="AA235" s="155"/>
      <c r="AB235" s="155"/>
      <c r="AC235" s="155"/>
      <c r="AD235" s="155"/>
      <c r="AE235" s="155"/>
      <c r="AF235" s="155"/>
      <c r="AG235" s="155"/>
      <c r="AH235" s="155"/>
      <c r="AI235" s="155"/>
      <c r="AJ235" s="155"/>
      <c r="AK235" s="155"/>
      <c r="AL235" s="156"/>
      <c r="AM235" s="156"/>
      <c r="AN235" s="156"/>
      <c r="AO235" s="156"/>
      <c r="AP235" s="155"/>
      <c r="AQ235" s="155"/>
      <c r="AR235" s="155"/>
      <c r="AS235" s="155"/>
      <c r="AT235" s="155"/>
      <c r="AU235" s="155"/>
      <c r="AV235" s="155"/>
      <c r="AW235" s="155"/>
      <c r="AX235" s="155"/>
      <c r="AY235" s="155"/>
      <c r="AZ235" s="155"/>
      <c r="BA235" s="155"/>
      <c r="BB235" s="155"/>
      <c r="BC235" s="155"/>
      <c r="BD235" s="155"/>
      <c r="BE235" s="155"/>
      <c r="BF235" s="155"/>
      <c r="BG235" s="155"/>
      <c r="BH235" s="155"/>
      <c r="BI235" s="155"/>
      <c r="BJ235" s="155"/>
      <c r="BK235" s="155"/>
      <c r="BL235" s="155"/>
      <c r="BM235" s="155"/>
      <c r="BN235" s="155"/>
      <c r="BO235" s="155"/>
      <c r="BP235" s="155"/>
      <c r="BQ235" s="155"/>
      <c r="BR235" s="155"/>
      <c r="BS235" s="155"/>
      <c r="BT235" s="155"/>
      <c r="BU235" s="155"/>
      <c r="BV235" s="155"/>
      <c r="BW235" s="155"/>
      <c r="BX235" s="155"/>
      <c r="BY235" s="155"/>
      <c r="BZ235" s="155"/>
      <c r="CA235" s="155"/>
      <c r="CB235" s="155"/>
      <c r="CC235" s="155"/>
      <c r="CD235" s="155"/>
      <c r="CE235" s="155"/>
      <c r="CF235" s="155"/>
      <c r="CG235" s="155"/>
      <c r="CH235" s="155"/>
      <c r="CI235" s="155"/>
      <c r="CJ235" s="155"/>
      <c r="CK235" s="155"/>
      <c r="CL235" s="155"/>
      <c r="CM235" s="155"/>
      <c r="CN235" s="155"/>
      <c r="CO235" s="155"/>
      <c r="CP235" s="155"/>
      <c r="CQ235" s="155"/>
      <c r="CR235" s="155"/>
    </row>
    <row r="236" spans="1:96" x14ac:dyDescent="0.25">
      <c r="A236" s="189">
        <v>111</v>
      </c>
      <c r="B236" s="190" t="s">
        <v>336</v>
      </c>
      <c r="C236" s="191">
        <v>111</v>
      </c>
      <c r="D236" s="192" t="s">
        <v>282</v>
      </c>
      <c r="E236" s="164">
        <v>21</v>
      </c>
      <c r="F236" s="164">
        <v>11</v>
      </c>
      <c r="G236" s="164">
        <v>5</v>
      </c>
      <c r="H236" s="223">
        <v>0</v>
      </c>
      <c r="I236" s="164">
        <v>0</v>
      </c>
      <c r="J236" s="164">
        <v>0</v>
      </c>
      <c r="K236" s="164">
        <v>0</v>
      </c>
      <c r="L236" s="164"/>
      <c r="M236" s="164"/>
      <c r="N236" s="164"/>
      <c r="O236" s="164"/>
      <c r="P236" s="164"/>
      <c r="Q236" s="157"/>
      <c r="R236" s="157"/>
      <c r="S236" s="157"/>
      <c r="T236" s="157"/>
      <c r="U236" s="157"/>
      <c r="V236" s="157"/>
      <c r="W236" s="157"/>
      <c r="X236" s="157"/>
      <c r="Y236" s="157"/>
      <c r="Z236" s="157"/>
      <c r="AA236" s="157"/>
      <c r="AB236" s="157"/>
      <c r="AC236" s="157"/>
      <c r="AD236" s="157"/>
      <c r="AE236" s="157"/>
      <c r="AF236" s="157"/>
      <c r="AG236" s="157"/>
      <c r="AH236" s="157"/>
      <c r="AI236" s="157"/>
      <c r="AJ236" s="157"/>
      <c r="AK236" s="157"/>
      <c r="AL236" s="158"/>
      <c r="AM236" s="158"/>
      <c r="AN236" s="156"/>
      <c r="AO236" s="156"/>
      <c r="AP236" s="155"/>
      <c r="AQ236" s="155"/>
      <c r="AR236" s="155"/>
      <c r="AS236" s="155"/>
      <c r="AT236" s="155"/>
      <c r="AU236" s="155"/>
      <c r="AV236" s="155"/>
      <c r="AW236" s="155"/>
      <c r="AX236" s="155"/>
      <c r="AY236" s="155"/>
      <c r="AZ236" s="155"/>
      <c r="BA236" s="155"/>
      <c r="BB236" s="155"/>
      <c r="BC236" s="155"/>
      <c r="BD236" s="155"/>
      <c r="BE236" s="155"/>
      <c r="BF236" s="155"/>
      <c r="BG236" s="155"/>
      <c r="BH236" s="155"/>
      <c r="BI236" s="155"/>
      <c r="BJ236" s="155"/>
      <c r="BK236" s="155"/>
      <c r="BL236" s="155"/>
      <c r="BM236" s="155"/>
      <c r="BN236" s="155"/>
      <c r="BO236" s="155"/>
      <c r="BP236" s="155"/>
      <c r="BQ236" s="155"/>
      <c r="BR236" s="155"/>
      <c r="BS236" s="155"/>
      <c r="BT236" s="155"/>
      <c r="BU236" s="155"/>
      <c r="BV236" s="155"/>
      <c r="BW236" s="155"/>
      <c r="BX236" s="155"/>
      <c r="BY236" s="155"/>
      <c r="BZ236" s="155"/>
      <c r="CA236" s="155"/>
      <c r="CB236" s="155"/>
      <c r="CC236" s="155"/>
      <c r="CD236" s="155"/>
      <c r="CE236" s="155"/>
      <c r="CF236" s="155"/>
      <c r="CG236" s="155"/>
      <c r="CH236" s="155"/>
      <c r="CI236" s="155"/>
      <c r="CJ236" s="155"/>
      <c r="CK236" s="155"/>
      <c r="CL236" s="155"/>
      <c r="CM236" s="155"/>
      <c r="CN236" s="155"/>
      <c r="CO236" s="155"/>
      <c r="CP236" s="155"/>
      <c r="CQ236" s="155"/>
      <c r="CR236" s="155"/>
    </row>
  </sheetData>
  <sortState ref="A9:AP118">
    <sortCondition ref="C9:C118"/>
  </sortState>
  <dataConsolidate/>
  <mergeCells count="7">
    <mergeCell ref="A3:AO3"/>
    <mergeCell ref="A4:AO4"/>
    <mergeCell ref="AK5:AK7"/>
    <mergeCell ref="AL5:AL7"/>
    <mergeCell ref="AM5:AM7"/>
    <mergeCell ref="AN5:AN7"/>
    <mergeCell ref="AO5:AO7"/>
  </mergeCells>
  <conditionalFormatting sqref="C9:AO118">
    <cfRule type="expression" dxfId="52" priority="13">
      <formula>MOD(ROW(),2)&gt;=1</formula>
    </cfRule>
  </conditionalFormatting>
  <conditionalFormatting sqref="F9:AI117 AJ9:AJ118 C9:E118">
    <cfRule type="expression" dxfId="51" priority="9">
      <formula>MOD(ROW(),2)&gt;=1</formula>
    </cfRule>
  </conditionalFormatting>
  <conditionalFormatting sqref="F9:AI117 AJ9:AJ118">
    <cfRule type="expression" dxfId="50" priority="7">
      <formula>F$7="T.bảy"</formula>
    </cfRule>
    <cfRule type="expression" dxfId="49" priority="8">
      <formula>F$7="CN"</formula>
    </cfRule>
  </conditionalFormatting>
  <pageMargins left="0.25" right="0.25" top="0.75" bottom="0.75" header="0.3" footer="0.3"/>
  <pageSetup scale="80" orientation="landscape" horizontalDpi="4294967295" verticalDpi="4294967295"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'Employees information'!$I$5:$I$19</xm:f>
          </x14:formula1>
          <xm:sqref>D1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4"/>
  <sheetViews>
    <sheetView workbookViewId="0">
      <selection activeCell="E21" sqref="E21"/>
    </sheetView>
  </sheetViews>
  <sheetFormatPr defaultRowHeight="15" x14ac:dyDescent="0.25"/>
  <cols>
    <col min="1" max="1" width="13.140625" customWidth="1"/>
    <col min="2" max="2" width="14.42578125" customWidth="1"/>
    <col min="3" max="4" width="14.42578125" bestFit="1" customWidth="1"/>
    <col min="5" max="8" width="14.42578125" customWidth="1"/>
    <col min="9" max="9" width="11" customWidth="1"/>
    <col min="10" max="15" width="10" customWidth="1"/>
    <col min="16" max="50" width="4.5703125" bestFit="1" customWidth="1"/>
    <col min="51" max="51" width="5.5703125" bestFit="1" customWidth="1"/>
    <col min="52" max="52" width="11.28515625" bestFit="1" customWidth="1"/>
  </cols>
  <sheetData>
    <row r="1" spans="1:9" x14ac:dyDescent="0.25">
      <c r="A1" s="201" t="s">
        <v>383</v>
      </c>
      <c r="B1" s="193"/>
      <c r="C1" s="193"/>
      <c r="D1" s="193"/>
      <c r="E1" s="104"/>
      <c r="F1" s="104"/>
      <c r="G1" s="104"/>
      <c r="H1" t="s">
        <v>393</v>
      </c>
    </row>
    <row r="3" spans="1:9" x14ac:dyDescent="0.25">
      <c r="A3" s="11" t="s">
        <v>352</v>
      </c>
      <c r="B3" s="228" t="s">
        <v>368</v>
      </c>
      <c r="C3" s="228" t="s">
        <v>365</v>
      </c>
      <c r="D3" s="228" t="s">
        <v>366</v>
      </c>
      <c r="E3" s="228" t="s">
        <v>400</v>
      </c>
      <c r="F3" s="228" t="s">
        <v>401</v>
      </c>
      <c r="G3" s="228" t="s">
        <v>432</v>
      </c>
      <c r="H3" s="228" t="s">
        <v>433</v>
      </c>
    </row>
    <row r="4" spans="1:9" x14ac:dyDescent="0.25">
      <c r="A4" s="12" t="s">
        <v>332</v>
      </c>
      <c r="B4" s="163">
        <v>0</v>
      </c>
      <c r="C4" s="163">
        <v>0</v>
      </c>
      <c r="D4" s="163">
        <v>0</v>
      </c>
      <c r="E4" s="163">
        <v>0</v>
      </c>
      <c r="F4" s="163">
        <v>0</v>
      </c>
      <c r="G4" s="163">
        <v>1.5</v>
      </c>
      <c r="H4" s="163">
        <v>0.5</v>
      </c>
    </row>
    <row r="5" spans="1:9" x14ac:dyDescent="0.25">
      <c r="A5" s="12" t="s">
        <v>333</v>
      </c>
      <c r="B5" s="163">
        <v>179.5</v>
      </c>
      <c r="C5" s="163">
        <v>66.5</v>
      </c>
      <c r="D5" s="163">
        <v>59.5</v>
      </c>
      <c r="E5" s="163">
        <v>5</v>
      </c>
      <c r="F5" s="163">
        <v>0</v>
      </c>
      <c r="G5" s="163">
        <v>44.5</v>
      </c>
      <c r="H5" s="163">
        <v>58</v>
      </c>
    </row>
    <row r="6" spans="1:9" x14ac:dyDescent="0.25">
      <c r="A6" s="12" t="s">
        <v>334</v>
      </c>
      <c r="B6" s="163">
        <v>311</v>
      </c>
      <c r="C6" s="163">
        <v>119.5</v>
      </c>
      <c r="D6" s="163">
        <v>92</v>
      </c>
      <c r="E6" s="163">
        <v>6.5</v>
      </c>
      <c r="F6" s="163">
        <v>7.5</v>
      </c>
      <c r="G6" s="163">
        <v>61.5</v>
      </c>
      <c r="H6" s="163">
        <v>82.5</v>
      </c>
    </row>
    <row r="7" spans="1:9" x14ac:dyDescent="0.25">
      <c r="A7" s="12" t="s">
        <v>335</v>
      </c>
      <c r="B7" s="163">
        <v>141</v>
      </c>
      <c r="C7" s="163">
        <v>42.5</v>
      </c>
      <c r="D7" s="163">
        <v>45.5</v>
      </c>
      <c r="E7" s="163">
        <v>12.5</v>
      </c>
      <c r="F7" s="163">
        <v>16.5</v>
      </c>
      <c r="G7" s="163">
        <v>75</v>
      </c>
      <c r="H7" s="163">
        <v>67.5</v>
      </c>
    </row>
    <row r="8" spans="1:9" x14ac:dyDescent="0.25">
      <c r="A8" s="12" t="s">
        <v>341</v>
      </c>
      <c r="B8" s="163">
        <v>121.5</v>
      </c>
      <c r="C8" s="163">
        <v>41.5</v>
      </c>
      <c r="D8" s="163">
        <v>42.5</v>
      </c>
      <c r="E8" s="163">
        <v>30</v>
      </c>
      <c r="F8" s="163">
        <v>36</v>
      </c>
      <c r="G8" s="163">
        <v>42.5</v>
      </c>
      <c r="H8" s="163">
        <v>48</v>
      </c>
    </row>
    <row r="9" spans="1:9" x14ac:dyDescent="0.25">
      <c r="A9" s="12" t="s">
        <v>336</v>
      </c>
      <c r="B9" s="163">
        <v>119.5</v>
      </c>
      <c r="C9" s="163">
        <v>44.5</v>
      </c>
      <c r="D9" s="163">
        <v>50</v>
      </c>
      <c r="E9" s="163">
        <v>2</v>
      </c>
      <c r="F9" s="163">
        <v>3.5</v>
      </c>
      <c r="G9" s="163">
        <v>33</v>
      </c>
      <c r="H9" s="163">
        <v>36.5</v>
      </c>
    </row>
    <row r="10" spans="1:9" x14ac:dyDescent="0.25">
      <c r="A10" s="12" t="s">
        <v>337</v>
      </c>
      <c r="B10" s="163">
        <v>72.5</v>
      </c>
      <c r="C10" s="163">
        <v>28.5</v>
      </c>
      <c r="D10" s="163">
        <v>14.5</v>
      </c>
      <c r="E10" s="163">
        <v>0</v>
      </c>
      <c r="F10" s="163">
        <v>0</v>
      </c>
      <c r="G10" s="163">
        <v>20.5</v>
      </c>
      <c r="H10" s="163">
        <v>30.5</v>
      </c>
    </row>
    <row r="11" spans="1:9" x14ac:dyDescent="0.25">
      <c r="A11" s="12" t="s">
        <v>344</v>
      </c>
      <c r="B11" s="163">
        <v>130.5</v>
      </c>
      <c r="C11" s="163">
        <v>47</v>
      </c>
      <c r="D11" s="163">
        <v>45</v>
      </c>
      <c r="E11" s="163">
        <v>16.5</v>
      </c>
      <c r="F11" s="163">
        <v>21.5</v>
      </c>
      <c r="G11" s="163">
        <v>36.5</v>
      </c>
      <c r="H11" s="163">
        <v>42.5</v>
      </c>
    </row>
    <row r="12" spans="1:9" x14ac:dyDescent="0.25">
      <c r="A12" s="12" t="s">
        <v>338</v>
      </c>
      <c r="B12" s="163">
        <v>17.5</v>
      </c>
      <c r="C12" s="163">
        <v>5.5</v>
      </c>
      <c r="D12" s="163">
        <v>12</v>
      </c>
      <c r="E12" s="163">
        <v>0</v>
      </c>
      <c r="F12" s="163">
        <v>0</v>
      </c>
      <c r="G12" s="163">
        <v>0</v>
      </c>
      <c r="H12" s="163">
        <v>0</v>
      </c>
    </row>
    <row r="13" spans="1:9" x14ac:dyDescent="0.25">
      <c r="A13" s="12" t="s">
        <v>343</v>
      </c>
      <c r="B13" s="163">
        <v>0</v>
      </c>
      <c r="C13" s="163">
        <v>0</v>
      </c>
      <c r="D13" s="163">
        <v>0</v>
      </c>
      <c r="E13" s="163">
        <v>0</v>
      </c>
      <c r="F13" s="163">
        <v>0</v>
      </c>
      <c r="G13" s="163">
        <v>16</v>
      </c>
      <c r="H13" s="163">
        <v>42.5</v>
      </c>
    </row>
    <row r="14" spans="1:9" x14ac:dyDescent="0.25">
      <c r="A14" s="12" t="s">
        <v>342</v>
      </c>
      <c r="B14" s="163">
        <v>123.5</v>
      </c>
      <c r="C14" s="163">
        <v>41</v>
      </c>
      <c r="D14" s="163">
        <v>45</v>
      </c>
      <c r="E14" s="163">
        <v>1</v>
      </c>
      <c r="F14" s="163">
        <v>10</v>
      </c>
      <c r="G14" s="163">
        <v>49</v>
      </c>
      <c r="H14" s="163">
        <v>90.5</v>
      </c>
    </row>
    <row r="15" spans="1:9" x14ac:dyDescent="0.25">
      <c r="A15" s="12" t="s">
        <v>339</v>
      </c>
      <c r="B15" s="163">
        <v>59</v>
      </c>
      <c r="C15" s="163">
        <v>20.5</v>
      </c>
      <c r="D15" s="163">
        <v>16.5</v>
      </c>
      <c r="E15" s="163">
        <v>9.5</v>
      </c>
      <c r="F15" s="163">
        <v>3.5</v>
      </c>
      <c r="G15" s="163">
        <v>15.5</v>
      </c>
      <c r="H15" s="163">
        <v>22.5</v>
      </c>
      <c r="I15">
        <f>--(H14=H15)</f>
        <v>0</v>
      </c>
    </row>
    <row r="16" spans="1:9" x14ac:dyDescent="0.25">
      <c r="A16" s="12" t="s">
        <v>345</v>
      </c>
      <c r="B16" s="163">
        <v>211.5</v>
      </c>
      <c r="C16" s="163">
        <v>86.5</v>
      </c>
      <c r="D16" s="163">
        <v>67.5</v>
      </c>
      <c r="E16" s="163">
        <v>0</v>
      </c>
      <c r="F16" s="163">
        <v>0</v>
      </c>
      <c r="G16" s="163">
        <v>59</v>
      </c>
      <c r="H16" s="163">
        <v>84.5</v>
      </c>
    </row>
    <row r="17" spans="1:18" x14ac:dyDescent="0.25">
      <c r="A17" s="12" t="s">
        <v>340</v>
      </c>
      <c r="B17" s="163">
        <v>8</v>
      </c>
      <c r="C17" s="163">
        <v>1.5</v>
      </c>
      <c r="D17" s="163">
        <v>6.5</v>
      </c>
      <c r="E17" s="163">
        <v>0</v>
      </c>
      <c r="F17" s="163">
        <v>0</v>
      </c>
      <c r="G17" s="163">
        <v>3</v>
      </c>
      <c r="H17" s="163">
        <v>0</v>
      </c>
    </row>
    <row r="18" spans="1:18" x14ac:dyDescent="0.25">
      <c r="A18" s="12" t="s">
        <v>221</v>
      </c>
      <c r="B18" s="163">
        <v>1495</v>
      </c>
      <c r="C18" s="163">
        <v>545</v>
      </c>
      <c r="D18" s="163">
        <v>496.5</v>
      </c>
      <c r="E18" s="163">
        <v>83</v>
      </c>
      <c r="F18" s="163">
        <v>98.5</v>
      </c>
      <c r="G18" s="163">
        <v>457.5</v>
      </c>
      <c r="H18" s="163">
        <v>606</v>
      </c>
    </row>
    <row r="19" spans="1:18" x14ac:dyDescent="0.25">
      <c r="C19" s="216" t="s">
        <v>392</v>
      </c>
    </row>
    <row r="20" spans="1:18" x14ac:dyDescent="0.25">
      <c r="A20" s="217" t="s">
        <v>390</v>
      </c>
      <c r="B20" s="194" t="s">
        <v>412</v>
      </c>
      <c r="C20" s="198" t="s">
        <v>434</v>
      </c>
      <c r="D20" s="194" t="s">
        <v>403</v>
      </c>
      <c r="E20" s="196" t="s">
        <v>415</v>
      </c>
      <c r="F20" s="199" t="s">
        <v>384</v>
      </c>
      <c r="G20" s="199" t="s">
        <v>385</v>
      </c>
      <c r="H20" s="199" t="s">
        <v>386</v>
      </c>
      <c r="I20" s="199" t="s">
        <v>369</v>
      </c>
      <c r="J20" s="195"/>
      <c r="K20" s="195"/>
      <c r="L20" s="195"/>
      <c r="M20" s="195"/>
      <c r="N20" s="195"/>
      <c r="O20" s="195"/>
      <c r="P20" s="195"/>
      <c r="Q20" s="195"/>
      <c r="R20" s="195"/>
    </row>
    <row r="21" spans="1:18" x14ac:dyDescent="0.25">
      <c r="A21" s="12" t="s">
        <v>332</v>
      </c>
      <c r="C21">
        <f>INDEX($B$4:$H$17,MATCH(chart_data[[#This Row],[Select departments]],$A$4:$A$17,0),chart_data[[#Headers],[4]])</f>
        <v>0</v>
      </c>
      <c r="D21" s="228">
        <f>IF(chart_data[[#Headers],[4]]="1",0,INDEX($B$4:$G$17,MATCH(chart_data[[#This Row],[Select departments]],$A$4:$A$17,0),chart_data[[#Headers],[4]]-1))</f>
        <v>0</v>
      </c>
      <c r="E21" s="220">
        <f>IF(chart_data[[#This Row],[previous month]]=0,0,(chart_data[[#This Row],[4]]-chart_data[[#This Row],[previous month]])/chart_data[[#This Row],[previous month]])</f>
        <v>0</v>
      </c>
      <c r="F21" t="str">
        <f>IF(C21=MAX($C$21:$C$34),C21,"")</f>
        <v/>
      </c>
      <c r="G21">
        <f>IF(C21=MIN($C$21:$C$34),C21,"")</f>
        <v>0</v>
      </c>
    </row>
    <row r="22" spans="1:18" x14ac:dyDescent="0.25">
      <c r="A22" s="12" t="s">
        <v>333</v>
      </c>
      <c r="C22">
        <f>INDEX($B$4:$H$17,MATCH(chart_data[[#This Row],[Select departments]],$A$4:$A$17,0),chart_data[[#Headers],[4]])</f>
        <v>5</v>
      </c>
      <c r="D22" s="228">
        <f>IF(chart_data[[#Headers],[4]]="1",0,INDEX($B$4:$G$17,MATCH(chart_data[[#This Row],[Select departments]],$A$4:$A$17,0),chart_data[[#Headers],[4]]-1))</f>
        <v>59.5</v>
      </c>
      <c r="E22" s="220">
        <f>IF(chart_data[[#This Row],[previous month]]=0,0,(chart_data[[#This Row],[4]]-chart_data[[#This Row],[previous month]])/chart_data[[#This Row],[previous month]])</f>
        <v>-0.91596638655462181</v>
      </c>
      <c r="F22" t="str">
        <f t="shared" ref="F22:F34" si="0">IF(C22=MAX($C$21:$C$34),C22,"")</f>
        <v/>
      </c>
      <c r="G22" t="str">
        <f t="shared" ref="G22:G34" si="1">IF(C22=MIN($C$21:$C$34),C22,"")</f>
        <v/>
      </c>
    </row>
    <row r="23" spans="1:18" x14ac:dyDescent="0.25">
      <c r="A23" s="12" t="s">
        <v>334</v>
      </c>
      <c r="C23">
        <f>INDEX($B$4:$H$17,MATCH(chart_data[[#This Row],[Select departments]],$A$4:$A$17,0),chart_data[[#Headers],[4]])</f>
        <v>6.5</v>
      </c>
      <c r="D23" s="228">
        <f>IF(chart_data[[#Headers],[4]]="1",0,INDEX($B$4:$G$17,MATCH(chart_data[[#This Row],[Select departments]],$A$4:$A$17,0),chart_data[[#Headers],[4]]-1))</f>
        <v>92</v>
      </c>
      <c r="E23" s="207">
        <f>IF(chart_data[[#This Row],[previous month]]=0,0,(chart_data[[#This Row],[4]]-chart_data[[#This Row],[previous month]])/chart_data[[#This Row],[previous month]])</f>
        <v>-0.92934782608695654</v>
      </c>
      <c r="F23" t="str">
        <f t="shared" si="0"/>
        <v/>
      </c>
      <c r="G23" t="str">
        <f t="shared" si="1"/>
        <v/>
      </c>
    </row>
    <row r="24" spans="1:18" x14ac:dyDescent="0.25">
      <c r="A24" s="12" t="s">
        <v>335</v>
      </c>
      <c r="C24">
        <f>INDEX($B$4:$H$17,MATCH(chart_data[[#This Row],[Select departments]],$A$4:$A$17,0),chart_data[[#Headers],[4]])</f>
        <v>12.5</v>
      </c>
      <c r="D24" s="228">
        <f>IF(chart_data[[#Headers],[4]]="1",0,INDEX($B$4:$G$17,MATCH(chart_data[[#This Row],[Select departments]],$A$4:$A$17,0),chart_data[[#Headers],[4]]-1))</f>
        <v>45.5</v>
      </c>
      <c r="E24" s="207">
        <f>IF(chart_data[[#This Row],[previous month]]=0,0,(chart_data[[#This Row],[4]]-chart_data[[#This Row],[previous month]])/chart_data[[#This Row],[previous month]])</f>
        <v>-0.72527472527472525</v>
      </c>
      <c r="F24" t="str">
        <f t="shared" si="0"/>
        <v/>
      </c>
      <c r="G24" t="str">
        <f t="shared" si="1"/>
        <v/>
      </c>
    </row>
    <row r="25" spans="1:18" x14ac:dyDescent="0.25">
      <c r="A25" s="12" t="s">
        <v>341</v>
      </c>
      <c r="C25">
        <f>INDEX($B$4:$H$17,MATCH(chart_data[[#This Row],[Select departments]],$A$4:$A$17,0),chart_data[[#Headers],[4]])</f>
        <v>30</v>
      </c>
      <c r="D25" s="228">
        <f>IF(chart_data[[#Headers],[4]]="1",0,INDEX($B$4:$G$17,MATCH(chart_data[[#This Row],[Select departments]],$A$4:$A$17,0),chart_data[[#Headers],[4]]-1))</f>
        <v>42.5</v>
      </c>
      <c r="E25" s="207">
        <f>IF(chart_data[[#This Row],[previous month]]=0,0,(chart_data[[#This Row],[4]]-chart_data[[#This Row],[previous month]])/chart_data[[#This Row],[previous month]])</f>
        <v>-0.29411764705882354</v>
      </c>
      <c r="F25">
        <f t="shared" si="0"/>
        <v>30</v>
      </c>
      <c r="G25" t="str">
        <f t="shared" si="1"/>
        <v/>
      </c>
    </row>
    <row r="26" spans="1:18" x14ac:dyDescent="0.25">
      <c r="A26" s="12" t="s">
        <v>336</v>
      </c>
      <c r="C26">
        <f>INDEX($B$4:$H$17,MATCH(chart_data[[#This Row],[Select departments]],$A$4:$A$17,0),chart_data[[#Headers],[4]])</f>
        <v>2</v>
      </c>
      <c r="D26" s="228">
        <f>IF(chart_data[[#Headers],[4]]="1",0,INDEX($B$4:$G$17,MATCH(chart_data[[#This Row],[Select departments]],$A$4:$A$17,0),chart_data[[#Headers],[4]]-1))</f>
        <v>50</v>
      </c>
      <c r="E26" s="207">
        <f>IF(chart_data[[#This Row],[previous month]]=0,0,(chart_data[[#This Row],[4]]-chart_data[[#This Row],[previous month]])/chart_data[[#This Row],[previous month]])</f>
        <v>-0.96</v>
      </c>
      <c r="F26" t="str">
        <f t="shared" si="0"/>
        <v/>
      </c>
      <c r="G26" t="str">
        <f t="shared" si="1"/>
        <v/>
      </c>
    </row>
    <row r="27" spans="1:18" x14ac:dyDescent="0.25">
      <c r="A27" s="12" t="s">
        <v>337</v>
      </c>
      <c r="C27">
        <f>INDEX($B$4:$H$17,MATCH(chart_data[[#This Row],[Select departments]],$A$4:$A$17,0),chart_data[[#Headers],[4]])</f>
        <v>0</v>
      </c>
      <c r="D27" s="228">
        <f>IF(chart_data[[#Headers],[4]]="1",0,INDEX($B$4:$G$17,MATCH(chart_data[[#This Row],[Select departments]],$A$4:$A$17,0),chart_data[[#Headers],[4]]-1))</f>
        <v>14.5</v>
      </c>
      <c r="E27" s="207">
        <f>IF(chart_data[[#This Row],[previous month]]=0,0,(chart_data[[#This Row],[4]]-chart_data[[#This Row],[previous month]])/chart_data[[#This Row],[previous month]])</f>
        <v>-1</v>
      </c>
      <c r="F27" t="str">
        <f t="shared" si="0"/>
        <v/>
      </c>
      <c r="G27">
        <f t="shared" si="1"/>
        <v>0</v>
      </c>
    </row>
    <row r="28" spans="1:18" x14ac:dyDescent="0.25">
      <c r="A28" s="12" t="s">
        <v>344</v>
      </c>
      <c r="C28">
        <f>INDEX($B$4:$H$17,MATCH(chart_data[[#This Row],[Select departments]],$A$4:$A$17,0),chart_data[[#Headers],[4]])</f>
        <v>16.5</v>
      </c>
      <c r="D28" s="228">
        <f>IF(chart_data[[#Headers],[4]]="1",0,INDEX($B$4:$G$17,MATCH(chart_data[[#This Row],[Select departments]],$A$4:$A$17,0),chart_data[[#Headers],[4]]-1))</f>
        <v>45</v>
      </c>
      <c r="E28" s="207">
        <f>IF(chart_data[[#This Row],[previous month]]=0,0,(chart_data[[#This Row],[4]]-chart_data[[#This Row],[previous month]])/chart_data[[#This Row],[previous month]])</f>
        <v>-0.6333333333333333</v>
      </c>
      <c r="F28" t="str">
        <f t="shared" si="0"/>
        <v/>
      </c>
      <c r="G28" t="str">
        <f t="shared" si="1"/>
        <v/>
      </c>
    </row>
    <row r="29" spans="1:18" x14ac:dyDescent="0.25">
      <c r="A29" s="12" t="s">
        <v>338</v>
      </c>
      <c r="C29">
        <f>INDEX($B$4:$H$17,MATCH(chart_data[[#This Row],[Select departments]],$A$4:$A$17,0),chart_data[[#Headers],[4]])</f>
        <v>0</v>
      </c>
      <c r="D29" s="228">
        <f>IF(chart_data[[#Headers],[4]]="1",0,INDEX($B$4:$G$17,MATCH(chart_data[[#This Row],[Select departments]],$A$4:$A$17,0),chart_data[[#Headers],[4]]-1))</f>
        <v>12</v>
      </c>
      <c r="E29" s="207">
        <f>IF(chart_data[[#This Row],[previous month]]=0,0,(chart_data[[#This Row],[4]]-chart_data[[#This Row],[previous month]])/chart_data[[#This Row],[previous month]])</f>
        <v>-1</v>
      </c>
      <c r="F29" t="str">
        <f t="shared" si="0"/>
        <v/>
      </c>
      <c r="G29">
        <f t="shared" si="1"/>
        <v>0</v>
      </c>
    </row>
    <row r="30" spans="1:18" x14ac:dyDescent="0.25">
      <c r="A30" s="12" t="s">
        <v>343</v>
      </c>
      <c r="C30">
        <f>INDEX($B$4:$H$17,MATCH(chart_data[[#This Row],[Select departments]],$A$4:$A$17,0),chart_data[[#Headers],[4]])</f>
        <v>0</v>
      </c>
      <c r="D30" s="228">
        <f>IF(chart_data[[#Headers],[4]]="1",0,INDEX($B$4:$G$17,MATCH(chart_data[[#This Row],[Select departments]],$A$4:$A$17,0),chart_data[[#Headers],[4]]-1))</f>
        <v>0</v>
      </c>
      <c r="E30" s="207">
        <f>IF(chart_data[[#This Row],[previous month]]=0,0,(chart_data[[#This Row],[4]]-chart_data[[#This Row],[previous month]])/chart_data[[#This Row],[previous month]])</f>
        <v>0</v>
      </c>
      <c r="F30" t="str">
        <f t="shared" si="0"/>
        <v/>
      </c>
      <c r="G30">
        <f t="shared" si="1"/>
        <v>0</v>
      </c>
    </row>
    <row r="31" spans="1:18" x14ac:dyDescent="0.25">
      <c r="A31" s="12" t="s">
        <v>342</v>
      </c>
      <c r="C31">
        <f>INDEX($B$4:$H$17,MATCH(chart_data[[#This Row],[Select departments]],$A$4:$A$17,0),chart_data[[#Headers],[4]])</f>
        <v>1</v>
      </c>
      <c r="D31" s="228">
        <f>IF(chart_data[[#Headers],[4]]="1",0,INDEX($B$4:$G$17,MATCH(chart_data[[#This Row],[Select departments]],$A$4:$A$17,0),chart_data[[#Headers],[4]]-1))</f>
        <v>45</v>
      </c>
      <c r="E31" s="207">
        <f>IF(chart_data[[#This Row],[previous month]]=0,0,(chart_data[[#This Row],[4]]-chart_data[[#This Row],[previous month]])/chart_data[[#This Row],[previous month]])</f>
        <v>-0.97777777777777775</v>
      </c>
      <c r="F31" t="str">
        <f t="shared" si="0"/>
        <v/>
      </c>
      <c r="G31" t="str">
        <f t="shared" si="1"/>
        <v/>
      </c>
    </row>
    <row r="32" spans="1:18" x14ac:dyDescent="0.25">
      <c r="A32" s="12" t="s">
        <v>339</v>
      </c>
      <c r="C32">
        <f>INDEX($B$4:$H$17,MATCH(chart_data[[#This Row],[Select departments]],$A$4:$A$17,0),chart_data[[#Headers],[4]])</f>
        <v>9.5</v>
      </c>
      <c r="D32" s="228">
        <f>IF(chart_data[[#Headers],[4]]="1",0,INDEX($B$4:$G$17,MATCH(chart_data[[#This Row],[Select departments]],$A$4:$A$17,0),chart_data[[#Headers],[4]]-1))</f>
        <v>16.5</v>
      </c>
      <c r="E32" s="207">
        <f>IF(chart_data[[#This Row],[previous month]]=0,0,(chart_data[[#This Row],[4]]-chart_data[[#This Row],[previous month]])/chart_data[[#This Row],[previous month]])</f>
        <v>-0.42424242424242425</v>
      </c>
      <c r="F32" t="str">
        <f t="shared" si="0"/>
        <v/>
      </c>
      <c r="G32" t="str">
        <f t="shared" si="1"/>
        <v/>
      </c>
    </row>
    <row r="33" spans="1:14" x14ac:dyDescent="0.25">
      <c r="A33" s="12" t="s">
        <v>345</v>
      </c>
      <c r="C33">
        <f>INDEX($B$4:$H$17,MATCH(chart_data[[#This Row],[Select departments]],$A$4:$A$17,0),chart_data[[#Headers],[4]])</f>
        <v>0</v>
      </c>
      <c r="D33" s="228">
        <f>IF(chart_data[[#Headers],[4]]="1",0,INDEX($B$4:$G$17,MATCH(chart_data[[#This Row],[Select departments]],$A$4:$A$17,0),chart_data[[#Headers],[4]]-1))</f>
        <v>67.5</v>
      </c>
      <c r="E33" s="207">
        <f>IF(chart_data[[#This Row],[previous month]]=0,0,(chart_data[[#This Row],[4]]-chart_data[[#This Row],[previous month]])/chart_data[[#This Row],[previous month]])</f>
        <v>-1</v>
      </c>
      <c r="F33" t="str">
        <f t="shared" si="0"/>
        <v/>
      </c>
      <c r="G33">
        <f t="shared" si="1"/>
        <v>0</v>
      </c>
    </row>
    <row r="34" spans="1:14" x14ac:dyDescent="0.25">
      <c r="A34" s="197" t="s">
        <v>340</v>
      </c>
      <c r="B34" s="150"/>
      <c r="C34">
        <f>INDEX($B$4:$H$17,MATCH(chart_data[[#This Row],[Select departments]],$A$4:$A$17,0),chart_data[[#Headers],[4]])</f>
        <v>0</v>
      </c>
      <c r="D34" s="228">
        <f>IF(chart_data[[#Headers],[4]]="1",0,INDEX($B$4:$G$17,MATCH(chart_data[[#This Row],[Select departments]],$A$4:$A$17,0),chart_data[[#Headers],[4]]-1))</f>
        <v>6.5</v>
      </c>
      <c r="E34" s="229">
        <f>IF(chart_data[[#This Row],[previous month]]=0,0,(chart_data[[#This Row],[4]]-chart_data[[#This Row],[previous month]])/chart_data[[#This Row],[previous month]])</f>
        <v>-1</v>
      </c>
      <c r="F34" s="150" t="str">
        <f t="shared" si="0"/>
        <v/>
      </c>
      <c r="G34" s="150">
        <f t="shared" si="1"/>
        <v>0</v>
      </c>
      <c r="H34" s="150"/>
      <c r="I34" s="150"/>
      <c r="K34" s="104"/>
      <c r="L34" s="104"/>
      <c r="M34" s="104"/>
      <c r="N34" s="104"/>
    </row>
  </sheetData>
  <pageMargins left="0.7" right="0.7" top="0.75" bottom="0.75" header="0.3" footer="0.3"/>
  <pageSetup orientation="portrait" horizontalDpi="200" verticalDpi="200" r:id="rId2"/>
  <drawing r:id="rId3"/>
  <tableParts count="1">
    <tablePart r:id="rId4"/>
  </tableParts>
  <extLst>
    <ext xmlns:x14="http://schemas.microsoft.com/office/spreadsheetml/2009/9/main" uri="{05C60535-1F16-4fd2-B633-F4F36F0B64E0}">
      <x14:sparklineGroups xmlns:xm="http://schemas.microsoft.com/office/excel/2006/main">
        <x14:sparklineGroup lineWeight="2.25" displayEmptyCellsAs="gap">
          <x14:colorSeries theme="9" tint="-0.249977111117893"/>
          <x14:colorNegative theme="4"/>
          <x14:colorAxis rgb="FF000000"/>
          <x14:colorMarkers theme="4" tint="-0.249977111117893"/>
          <x14:colorFirst theme="4" tint="-0.249977111117893"/>
          <x14:colorLast theme="4" tint="-0.249977111117893"/>
          <x14:colorHigh theme="4" tint="-0.249977111117893"/>
          <x14:colorLow theme="4" tint="-0.249977111117893"/>
          <x14:sparklines>
            <x14:sparkline>
              <xm:f>Analyze!B4:F4</xm:f>
              <xm:sqref>J21</xm:sqref>
            </x14:sparkline>
            <x14:sparkline>
              <xm:f>Analyze!B5:F5</xm:f>
              <xm:sqref>J22</xm:sqref>
            </x14:sparkline>
            <x14:sparkline>
              <xm:f>Analyze!B6:F6</xm:f>
              <xm:sqref>J23</xm:sqref>
            </x14:sparkline>
            <x14:sparkline>
              <xm:f>Analyze!B7:F7</xm:f>
              <xm:sqref>J24</xm:sqref>
            </x14:sparkline>
            <x14:sparkline>
              <xm:f>Analyze!B8:F8</xm:f>
              <xm:sqref>J25</xm:sqref>
            </x14:sparkline>
            <x14:sparkline>
              <xm:f>Analyze!B9:F9</xm:f>
              <xm:sqref>J26</xm:sqref>
            </x14:sparkline>
            <x14:sparkline>
              <xm:f>Analyze!B10:F10</xm:f>
              <xm:sqref>J27</xm:sqref>
            </x14:sparkline>
            <x14:sparkline>
              <xm:f>Analyze!B11:F11</xm:f>
              <xm:sqref>J28</xm:sqref>
            </x14:sparkline>
            <x14:sparkline>
              <xm:f>Analyze!B12:F12</xm:f>
              <xm:sqref>J29</xm:sqref>
            </x14:sparkline>
            <x14:sparkline>
              <xm:f>Analyze!B13:F13</xm:f>
              <xm:sqref>J30</xm:sqref>
            </x14:sparkline>
            <x14:sparkline>
              <xm:f>Analyze!B14:F14</xm:f>
              <xm:sqref>J31</xm:sqref>
            </x14:sparkline>
            <x14:sparkline>
              <xm:f>Analyze!B15:F15</xm:f>
              <xm:sqref>J32</xm:sqref>
            </x14:sparkline>
            <x14:sparkline>
              <xm:f>Analyze!B16:F16</xm:f>
              <xm:sqref>J33</xm:sqref>
            </x14:sparkline>
            <x14:sparkline>
              <xm:f>Analyze!B17:F17</xm:f>
              <xm:sqref>J34</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85"/>
  <sheetViews>
    <sheetView topLeftCell="A161" workbookViewId="0">
      <selection activeCell="S93" sqref="S93:V94"/>
    </sheetView>
  </sheetViews>
  <sheetFormatPr defaultRowHeight="15" x14ac:dyDescent="0.25"/>
  <cols>
    <col min="1" max="1" width="5.140625" bestFit="1" customWidth="1"/>
    <col min="2" max="2" width="16" bestFit="1" customWidth="1"/>
    <col min="3" max="3" width="14.140625" bestFit="1" customWidth="1"/>
    <col min="4" max="4" width="23.7109375" bestFit="1" customWidth="1"/>
    <col min="5" max="5" width="8.140625" bestFit="1" customWidth="1"/>
    <col min="6" max="13" width="11.140625" hidden="1" customWidth="1"/>
    <col min="14" max="15" width="8" hidden="1" customWidth="1"/>
    <col min="16" max="16" width="10.85546875" hidden="1" customWidth="1"/>
    <col min="18" max="23" width="4" customWidth="1"/>
  </cols>
  <sheetData>
    <row r="1" spans="1:30" ht="17.25" x14ac:dyDescent="0.4">
      <c r="A1" t="s">
        <v>226</v>
      </c>
      <c r="B1" t="s">
        <v>348</v>
      </c>
      <c r="C1" t="s">
        <v>381</v>
      </c>
      <c r="D1" t="s">
        <v>194</v>
      </c>
      <c r="E1" t="s">
        <v>377</v>
      </c>
      <c r="F1" t="s">
        <v>369</v>
      </c>
      <c r="G1" t="s">
        <v>370</v>
      </c>
      <c r="H1" t="s">
        <v>371</v>
      </c>
      <c r="I1" t="s">
        <v>372</v>
      </c>
      <c r="J1" t="s">
        <v>373</v>
      </c>
      <c r="K1" t="s">
        <v>374</v>
      </c>
      <c r="L1" t="s">
        <v>375</v>
      </c>
      <c r="M1" t="s">
        <v>376</v>
      </c>
      <c r="N1" t="s">
        <v>378</v>
      </c>
      <c r="O1" t="s">
        <v>379</v>
      </c>
      <c r="P1" t="s">
        <v>380</v>
      </c>
      <c r="Q1" s="225" t="s">
        <v>395</v>
      </c>
      <c r="X1" s="214" t="s">
        <v>391</v>
      </c>
      <c r="Y1" s="213"/>
      <c r="Z1" s="208"/>
      <c r="AA1" s="150">
        <v>255</v>
      </c>
      <c r="AB1" s="150">
        <v>210</v>
      </c>
      <c r="AC1" s="150">
        <v>150</v>
      </c>
      <c r="AD1" s="150"/>
    </row>
    <row r="2" spans="1:30" x14ac:dyDescent="0.25">
      <c r="A2">
        <v>1</v>
      </c>
      <c r="B2" t="s">
        <v>332</v>
      </c>
      <c r="C2">
        <v>543</v>
      </c>
      <c r="D2" t="s">
        <v>96</v>
      </c>
      <c r="E2">
        <f>IFERROR((VLOOKUP(C2,DATA_LOG,3,0)),0)</f>
        <v>0</v>
      </c>
      <c r="Y2" s="213"/>
      <c r="Z2" s="209"/>
      <c r="AA2" s="150">
        <v>92</v>
      </c>
      <c r="AB2" s="150">
        <v>155</v>
      </c>
      <c r="AC2" s="150">
        <v>132</v>
      </c>
      <c r="AD2" s="150"/>
    </row>
    <row r="3" spans="1:30" x14ac:dyDescent="0.25">
      <c r="A3">
        <v>2</v>
      </c>
      <c r="B3" t="s">
        <v>332</v>
      </c>
      <c r="C3">
        <v>542</v>
      </c>
      <c r="D3" t="s">
        <v>97</v>
      </c>
      <c r="E3" s="228">
        <f>IFERROR((VLOOKUP(C3,DATA_LOG,3,0)),0)</f>
        <v>0</v>
      </c>
      <c r="Y3" s="213"/>
      <c r="Z3" s="210"/>
      <c r="AA3" s="150">
        <v>222</v>
      </c>
      <c r="AB3" s="150">
        <v>128</v>
      </c>
      <c r="AC3" s="150">
        <v>66</v>
      </c>
      <c r="AD3" s="150"/>
    </row>
    <row r="4" spans="1:30" x14ac:dyDescent="0.25">
      <c r="A4">
        <v>3</v>
      </c>
      <c r="B4" t="s">
        <v>332</v>
      </c>
      <c r="C4">
        <v>541</v>
      </c>
      <c r="D4" t="s">
        <v>98</v>
      </c>
      <c r="E4" s="228">
        <f>IFERROR((VLOOKUP(C4,DATA_LOG,3,0)),0)</f>
        <v>0</v>
      </c>
      <c r="R4" s="221">
        <v>1</v>
      </c>
      <c r="S4" s="221">
        <v>2</v>
      </c>
      <c r="Y4" s="213"/>
      <c r="Z4" s="211"/>
      <c r="AA4" s="150">
        <v>66</v>
      </c>
      <c r="AB4" s="150">
        <v>53</v>
      </c>
      <c r="AC4" s="150">
        <v>76</v>
      </c>
      <c r="AD4" s="150"/>
    </row>
    <row r="5" spans="1:30" x14ac:dyDescent="0.25">
      <c r="A5">
        <v>4</v>
      </c>
      <c r="B5" t="s">
        <v>332</v>
      </c>
      <c r="C5">
        <v>540</v>
      </c>
      <c r="D5" t="s">
        <v>138</v>
      </c>
      <c r="E5" s="228">
        <f>IFERROR((VLOOKUP(C5,DATA_LOG,3,0)),0)</f>
        <v>0</v>
      </c>
      <c r="R5" s="221">
        <v>3</v>
      </c>
      <c r="S5" s="221">
        <v>4</v>
      </c>
      <c r="Y5" s="213"/>
      <c r="Z5" s="212"/>
      <c r="AA5" s="104">
        <v>214</v>
      </c>
      <c r="AB5" s="104">
        <v>208</v>
      </c>
      <c r="AC5" s="104">
        <v>204</v>
      </c>
      <c r="AD5" s="104"/>
    </row>
    <row r="6" spans="1:30" x14ac:dyDescent="0.25">
      <c r="D6" t="s">
        <v>382</v>
      </c>
      <c r="E6" s="163">
        <v>4</v>
      </c>
      <c r="Y6" s="213"/>
      <c r="Z6" s="104"/>
      <c r="AA6" s="104">
        <v>47</v>
      </c>
      <c r="AB6" s="104">
        <v>70</v>
      </c>
      <c r="AC6" s="104">
        <v>97</v>
      </c>
      <c r="AD6" s="104"/>
    </row>
    <row r="7" spans="1:30" x14ac:dyDescent="0.25">
      <c r="D7" t="s">
        <v>387</v>
      </c>
      <c r="E7" s="163">
        <f>COUNTIF(E2:E5,"I")</f>
        <v>0</v>
      </c>
      <c r="AA7" t="s">
        <v>411</v>
      </c>
    </row>
    <row r="8" spans="1:30" x14ac:dyDescent="0.25">
      <c r="D8" t="s">
        <v>389</v>
      </c>
      <c r="E8" s="207">
        <f>1-E9</f>
        <v>1</v>
      </c>
      <c r="Z8" s="215"/>
      <c r="AA8">
        <v>252</v>
      </c>
      <c r="AB8">
        <v>213</v>
      </c>
      <c r="AC8">
        <v>181</v>
      </c>
    </row>
    <row r="9" spans="1:30" x14ac:dyDescent="0.25">
      <c r="D9" t="s">
        <v>388</v>
      </c>
      <c r="E9" s="207">
        <f>E7/E6</f>
        <v>0</v>
      </c>
      <c r="Z9" s="219" t="s">
        <v>394</v>
      </c>
    </row>
    <row r="10" spans="1:30" ht="17.25" x14ac:dyDescent="0.4">
      <c r="A10" t="s">
        <v>226</v>
      </c>
      <c r="B10" t="s">
        <v>348</v>
      </c>
      <c r="C10" t="s">
        <v>381</v>
      </c>
      <c r="D10" t="s">
        <v>194</v>
      </c>
      <c r="E10" t="s">
        <v>377</v>
      </c>
      <c r="F10" t="s">
        <v>369</v>
      </c>
      <c r="G10" t="s">
        <v>370</v>
      </c>
      <c r="H10" t="s">
        <v>371</v>
      </c>
      <c r="I10" t="s">
        <v>372</v>
      </c>
      <c r="J10" t="s">
        <v>373</v>
      </c>
      <c r="K10" t="s">
        <v>374</v>
      </c>
      <c r="L10" t="s">
        <v>375</v>
      </c>
      <c r="M10" t="s">
        <v>376</v>
      </c>
      <c r="N10" t="s">
        <v>378</v>
      </c>
      <c r="O10" t="s">
        <v>379</v>
      </c>
      <c r="P10" t="s">
        <v>380</v>
      </c>
      <c r="Q10" s="225" t="s">
        <v>396</v>
      </c>
      <c r="Y10" s="104" t="s">
        <v>416</v>
      </c>
      <c r="Z10" s="104"/>
      <c r="AA10" s="104"/>
    </row>
    <row r="11" spans="1:30" x14ac:dyDescent="0.25">
      <c r="A11">
        <v>7</v>
      </c>
      <c r="B11" t="s">
        <v>333</v>
      </c>
      <c r="C11">
        <v>537</v>
      </c>
      <c r="D11" t="s">
        <v>292</v>
      </c>
      <c r="E11">
        <f t="shared" ref="E11:E18" si="0">IFERROR((VLOOKUP(C11,DATA_LOG,3,0)),0)</f>
        <v>0</v>
      </c>
      <c r="R11" s="221">
        <v>7</v>
      </c>
      <c r="S11" s="221">
        <v>56</v>
      </c>
      <c r="T11" s="221">
        <v>59</v>
      </c>
      <c r="U11" s="221">
        <v>60</v>
      </c>
      <c r="Y11" s="230">
        <v>111</v>
      </c>
    </row>
    <row r="12" spans="1:30" x14ac:dyDescent="0.25">
      <c r="A12">
        <v>56</v>
      </c>
      <c r="B12" t="s">
        <v>333</v>
      </c>
      <c r="C12">
        <v>488</v>
      </c>
      <c r="D12" t="s">
        <v>165</v>
      </c>
      <c r="E12">
        <f t="shared" si="0"/>
        <v>0</v>
      </c>
      <c r="R12" s="221">
        <v>61</v>
      </c>
      <c r="S12" s="221">
        <v>77</v>
      </c>
      <c r="T12" s="221">
        <v>94</v>
      </c>
      <c r="U12" s="221">
        <v>107</v>
      </c>
      <c r="Y12" s="231">
        <f>SUM(E7,E20,E50,E64,E74,E88,E101,E114,E124,E137,E152,E166,E174)</f>
        <v>1</v>
      </c>
    </row>
    <row r="13" spans="1:30" x14ac:dyDescent="0.25">
      <c r="A13">
        <v>59</v>
      </c>
      <c r="B13" t="s">
        <v>333</v>
      </c>
      <c r="C13">
        <v>485</v>
      </c>
      <c r="D13" t="s">
        <v>119</v>
      </c>
      <c r="E13">
        <f t="shared" si="0"/>
        <v>0</v>
      </c>
    </row>
    <row r="14" spans="1:30" x14ac:dyDescent="0.25">
      <c r="A14">
        <v>60</v>
      </c>
      <c r="B14" t="s">
        <v>333</v>
      </c>
      <c r="C14">
        <v>484</v>
      </c>
      <c r="D14" t="s">
        <v>163</v>
      </c>
      <c r="E14">
        <f t="shared" si="0"/>
        <v>0</v>
      </c>
      <c r="R14" s="218"/>
    </row>
    <row r="15" spans="1:30" x14ac:dyDescent="0.25">
      <c r="A15">
        <v>61</v>
      </c>
      <c r="B15" t="s">
        <v>333</v>
      </c>
      <c r="C15">
        <v>483</v>
      </c>
      <c r="D15" t="s">
        <v>164</v>
      </c>
      <c r="E15">
        <f t="shared" si="0"/>
        <v>0</v>
      </c>
      <c r="Y15" t="s">
        <v>417</v>
      </c>
    </row>
    <row r="16" spans="1:30" x14ac:dyDescent="0.25">
      <c r="A16">
        <v>77</v>
      </c>
      <c r="B16" t="s">
        <v>333</v>
      </c>
      <c r="C16">
        <v>467</v>
      </c>
      <c r="D16" t="s">
        <v>299</v>
      </c>
      <c r="E16">
        <f t="shared" si="0"/>
        <v>0</v>
      </c>
      <c r="Y16" t="s">
        <v>418</v>
      </c>
    </row>
    <row r="17" spans="1:23" x14ac:dyDescent="0.25">
      <c r="A17">
        <v>94</v>
      </c>
      <c r="B17" t="s">
        <v>333</v>
      </c>
      <c r="C17">
        <v>450</v>
      </c>
      <c r="D17" t="s">
        <v>132</v>
      </c>
      <c r="E17">
        <f t="shared" si="0"/>
        <v>0</v>
      </c>
    </row>
    <row r="18" spans="1:23" x14ac:dyDescent="0.25">
      <c r="A18">
        <v>107</v>
      </c>
      <c r="B18" t="s">
        <v>333</v>
      </c>
      <c r="C18">
        <v>437</v>
      </c>
      <c r="D18" t="s">
        <v>170</v>
      </c>
      <c r="E18">
        <f t="shared" si="0"/>
        <v>0</v>
      </c>
    </row>
    <row r="19" spans="1:23" x14ac:dyDescent="0.25">
      <c r="D19" t="s">
        <v>382</v>
      </c>
      <c r="E19" s="163">
        <v>8</v>
      </c>
    </row>
    <row r="20" spans="1:23" x14ac:dyDescent="0.25">
      <c r="D20" t="s">
        <v>387</v>
      </c>
      <c r="E20" s="163">
        <f>COUNTIF(E11:E18,"I")</f>
        <v>0</v>
      </c>
    </row>
    <row r="21" spans="1:23" x14ac:dyDescent="0.25">
      <c r="D21" t="s">
        <v>389</v>
      </c>
      <c r="E21" s="220">
        <f>1-E22</f>
        <v>1</v>
      </c>
    </row>
    <row r="22" spans="1:23" x14ac:dyDescent="0.25">
      <c r="D22" t="s">
        <v>388</v>
      </c>
      <c r="E22" s="220">
        <f>E20/E19</f>
        <v>0</v>
      </c>
    </row>
    <row r="23" spans="1:23" ht="17.25" x14ac:dyDescent="0.4">
      <c r="A23" t="s">
        <v>226</v>
      </c>
      <c r="B23" t="s">
        <v>348</v>
      </c>
      <c r="C23" t="s">
        <v>381</v>
      </c>
      <c r="D23" t="s">
        <v>194</v>
      </c>
      <c r="E23" t="s">
        <v>377</v>
      </c>
      <c r="F23" t="s">
        <v>369</v>
      </c>
      <c r="G23" t="s">
        <v>370</v>
      </c>
      <c r="H23" t="s">
        <v>371</v>
      </c>
      <c r="I23" t="s">
        <v>372</v>
      </c>
      <c r="J23" t="s">
        <v>373</v>
      </c>
      <c r="K23" t="s">
        <v>374</v>
      </c>
      <c r="L23" t="s">
        <v>375</v>
      </c>
      <c r="M23" t="s">
        <v>376</v>
      </c>
      <c r="N23" t="s">
        <v>378</v>
      </c>
      <c r="O23" t="s">
        <v>379</v>
      </c>
      <c r="P23" t="s">
        <v>380</v>
      </c>
      <c r="Q23" s="225" t="s">
        <v>397</v>
      </c>
    </row>
    <row r="24" spans="1:23" x14ac:dyDescent="0.25">
      <c r="A24">
        <v>8</v>
      </c>
      <c r="B24" t="s">
        <v>334</v>
      </c>
      <c r="C24">
        <v>536</v>
      </c>
      <c r="D24" t="s">
        <v>161</v>
      </c>
      <c r="E24">
        <f t="shared" ref="E24:E48" si="1">IFERROR((VLOOKUP(C24,DATA_LOG,3,0)),0)</f>
        <v>0</v>
      </c>
      <c r="R24" s="226">
        <v>8</v>
      </c>
      <c r="S24" s="226">
        <v>24</v>
      </c>
      <c r="T24" s="226">
        <v>31</v>
      </c>
      <c r="U24" s="226">
        <v>48</v>
      </c>
      <c r="V24" s="226">
        <v>49</v>
      </c>
      <c r="W24" s="226">
        <v>50</v>
      </c>
    </row>
    <row r="25" spans="1:23" x14ac:dyDescent="0.25">
      <c r="A25">
        <v>24</v>
      </c>
      <c r="B25" t="s">
        <v>334</v>
      </c>
      <c r="C25">
        <v>520</v>
      </c>
      <c r="D25" t="s">
        <v>178</v>
      </c>
      <c r="E25">
        <f t="shared" si="1"/>
        <v>0</v>
      </c>
      <c r="R25" s="226">
        <v>51</v>
      </c>
      <c r="S25" s="226">
        <v>52</v>
      </c>
      <c r="T25" s="226">
        <v>53</v>
      </c>
      <c r="U25" s="226">
        <v>54</v>
      </c>
      <c r="V25" s="226">
        <v>55</v>
      </c>
      <c r="W25" s="226">
        <v>57</v>
      </c>
    </row>
    <row r="26" spans="1:23" x14ac:dyDescent="0.25">
      <c r="A26">
        <v>31</v>
      </c>
      <c r="B26" t="s">
        <v>334</v>
      </c>
      <c r="C26">
        <v>513</v>
      </c>
      <c r="D26" t="s">
        <v>134</v>
      </c>
      <c r="E26">
        <f t="shared" si="1"/>
        <v>0</v>
      </c>
      <c r="R26" s="226">
        <v>58</v>
      </c>
      <c r="S26" s="226">
        <v>62</v>
      </c>
      <c r="T26" s="226">
        <v>70</v>
      </c>
      <c r="U26" s="226">
        <v>73</v>
      </c>
      <c r="V26" s="226">
        <v>75</v>
      </c>
      <c r="W26" s="226">
        <v>76</v>
      </c>
    </row>
    <row r="27" spans="1:23" x14ac:dyDescent="0.25">
      <c r="A27">
        <v>48</v>
      </c>
      <c r="B27" t="s">
        <v>334</v>
      </c>
      <c r="C27">
        <v>496</v>
      </c>
      <c r="D27" t="s">
        <v>112</v>
      </c>
      <c r="E27">
        <f t="shared" si="1"/>
        <v>0</v>
      </c>
      <c r="R27" s="226">
        <v>82</v>
      </c>
      <c r="S27" s="226">
        <v>84</v>
      </c>
      <c r="T27" s="226">
        <v>86</v>
      </c>
      <c r="U27" s="226">
        <v>87</v>
      </c>
      <c r="V27" s="226">
        <v>92</v>
      </c>
      <c r="W27" s="226">
        <v>104</v>
      </c>
    </row>
    <row r="28" spans="1:23" x14ac:dyDescent="0.25">
      <c r="A28">
        <v>49</v>
      </c>
      <c r="B28" t="s">
        <v>334</v>
      </c>
      <c r="C28">
        <v>495</v>
      </c>
      <c r="D28" t="s">
        <v>113</v>
      </c>
      <c r="E28">
        <f t="shared" si="1"/>
        <v>0</v>
      </c>
      <c r="R28" s="226">
        <v>108</v>
      </c>
      <c r="S28" s="226"/>
      <c r="T28" s="226"/>
      <c r="U28" s="226"/>
      <c r="V28" s="226"/>
      <c r="W28" s="226"/>
    </row>
    <row r="29" spans="1:23" x14ac:dyDescent="0.25">
      <c r="A29">
        <v>50</v>
      </c>
      <c r="B29" t="s">
        <v>334</v>
      </c>
      <c r="C29">
        <v>494</v>
      </c>
      <c r="D29" t="s">
        <v>159</v>
      </c>
      <c r="E29">
        <f t="shared" si="1"/>
        <v>0</v>
      </c>
    </row>
    <row r="30" spans="1:23" x14ac:dyDescent="0.25">
      <c r="A30">
        <v>51</v>
      </c>
      <c r="B30" t="s">
        <v>334</v>
      </c>
      <c r="C30">
        <v>493</v>
      </c>
      <c r="D30" t="s">
        <v>114</v>
      </c>
      <c r="E30">
        <f t="shared" si="1"/>
        <v>0</v>
      </c>
    </row>
    <row r="31" spans="1:23" x14ac:dyDescent="0.25">
      <c r="A31">
        <v>52</v>
      </c>
      <c r="B31" t="s">
        <v>334</v>
      </c>
      <c r="C31">
        <v>492</v>
      </c>
      <c r="D31" t="s">
        <v>115</v>
      </c>
      <c r="E31">
        <f t="shared" si="1"/>
        <v>0</v>
      </c>
    </row>
    <row r="32" spans="1:23" x14ac:dyDescent="0.25">
      <c r="A32">
        <v>53</v>
      </c>
      <c r="B32" t="s">
        <v>334</v>
      </c>
      <c r="C32">
        <v>491</v>
      </c>
      <c r="D32" t="s">
        <v>116</v>
      </c>
      <c r="E32">
        <f t="shared" si="1"/>
        <v>0</v>
      </c>
    </row>
    <row r="33" spans="1:5" x14ac:dyDescent="0.25">
      <c r="A33">
        <v>54</v>
      </c>
      <c r="B33" t="s">
        <v>334</v>
      </c>
      <c r="C33">
        <v>490</v>
      </c>
      <c r="D33" t="s">
        <v>160</v>
      </c>
      <c r="E33">
        <f t="shared" si="1"/>
        <v>0</v>
      </c>
    </row>
    <row r="34" spans="1:5" x14ac:dyDescent="0.25">
      <c r="A34">
        <v>55</v>
      </c>
      <c r="B34" t="s">
        <v>334</v>
      </c>
      <c r="C34">
        <v>489</v>
      </c>
      <c r="D34" t="s">
        <v>126</v>
      </c>
      <c r="E34">
        <f t="shared" si="1"/>
        <v>0</v>
      </c>
    </row>
    <row r="35" spans="1:5" x14ac:dyDescent="0.25">
      <c r="A35">
        <v>57</v>
      </c>
      <c r="B35" t="s">
        <v>334</v>
      </c>
      <c r="C35">
        <v>487</v>
      </c>
      <c r="D35" t="s">
        <v>117</v>
      </c>
      <c r="E35">
        <f t="shared" si="1"/>
        <v>0</v>
      </c>
    </row>
    <row r="36" spans="1:5" x14ac:dyDescent="0.25">
      <c r="A36">
        <v>58</v>
      </c>
      <c r="B36" t="s">
        <v>334</v>
      </c>
      <c r="C36">
        <v>486</v>
      </c>
      <c r="D36" t="s">
        <v>118</v>
      </c>
      <c r="E36">
        <f t="shared" si="1"/>
        <v>0</v>
      </c>
    </row>
    <row r="37" spans="1:5" x14ac:dyDescent="0.25">
      <c r="A37">
        <v>62</v>
      </c>
      <c r="B37" t="s">
        <v>334</v>
      </c>
      <c r="C37">
        <v>482</v>
      </c>
      <c r="D37" t="s">
        <v>162</v>
      </c>
      <c r="E37">
        <f t="shared" si="1"/>
        <v>0</v>
      </c>
    </row>
    <row r="38" spans="1:5" x14ac:dyDescent="0.25">
      <c r="A38">
        <v>70</v>
      </c>
      <c r="B38" t="s">
        <v>334</v>
      </c>
      <c r="C38">
        <v>474</v>
      </c>
      <c r="D38" t="s">
        <v>191</v>
      </c>
      <c r="E38">
        <f t="shared" si="1"/>
        <v>0</v>
      </c>
    </row>
    <row r="39" spans="1:5" x14ac:dyDescent="0.25">
      <c r="A39">
        <v>73</v>
      </c>
      <c r="B39" t="s">
        <v>334</v>
      </c>
      <c r="C39">
        <v>471</v>
      </c>
      <c r="D39" t="s">
        <v>123</v>
      </c>
      <c r="E39">
        <f t="shared" si="1"/>
        <v>0</v>
      </c>
    </row>
    <row r="40" spans="1:5" x14ac:dyDescent="0.25">
      <c r="A40">
        <v>75</v>
      </c>
      <c r="B40" t="s">
        <v>334</v>
      </c>
      <c r="C40">
        <v>469</v>
      </c>
      <c r="D40" t="s">
        <v>187</v>
      </c>
      <c r="E40">
        <f t="shared" si="1"/>
        <v>0</v>
      </c>
    </row>
    <row r="41" spans="1:5" x14ac:dyDescent="0.25">
      <c r="A41">
        <v>76</v>
      </c>
      <c r="B41" t="s">
        <v>334</v>
      </c>
      <c r="C41">
        <v>468</v>
      </c>
      <c r="D41" t="s">
        <v>186</v>
      </c>
      <c r="E41">
        <f t="shared" si="1"/>
        <v>0</v>
      </c>
    </row>
    <row r="42" spans="1:5" x14ac:dyDescent="0.25">
      <c r="A42">
        <v>82</v>
      </c>
      <c r="B42" t="s">
        <v>334</v>
      </c>
      <c r="C42">
        <v>462</v>
      </c>
      <c r="D42" t="s">
        <v>183</v>
      </c>
      <c r="E42">
        <f t="shared" si="1"/>
        <v>0</v>
      </c>
    </row>
    <row r="43" spans="1:5" x14ac:dyDescent="0.25">
      <c r="A43">
        <v>84</v>
      </c>
      <c r="B43" t="s">
        <v>334</v>
      </c>
      <c r="C43">
        <v>460</v>
      </c>
      <c r="D43" t="s">
        <v>182</v>
      </c>
      <c r="E43">
        <f t="shared" si="1"/>
        <v>0</v>
      </c>
    </row>
    <row r="44" spans="1:5" x14ac:dyDescent="0.25">
      <c r="A44">
        <v>86</v>
      </c>
      <c r="B44" t="s">
        <v>334</v>
      </c>
      <c r="C44">
        <v>458</v>
      </c>
      <c r="D44" t="s">
        <v>127</v>
      </c>
      <c r="E44">
        <f t="shared" si="1"/>
        <v>0</v>
      </c>
    </row>
    <row r="45" spans="1:5" x14ac:dyDescent="0.25">
      <c r="A45">
        <v>87</v>
      </c>
      <c r="B45" t="s">
        <v>334</v>
      </c>
      <c r="C45">
        <v>457</v>
      </c>
      <c r="D45" t="s">
        <v>180</v>
      </c>
      <c r="E45">
        <f t="shared" si="1"/>
        <v>0</v>
      </c>
    </row>
    <row r="46" spans="1:5" x14ac:dyDescent="0.25">
      <c r="A46">
        <v>92</v>
      </c>
      <c r="B46" t="s">
        <v>334</v>
      </c>
      <c r="C46">
        <v>452</v>
      </c>
      <c r="D46" t="s">
        <v>296</v>
      </c>
      <c r="E46">
        <f t="shared" si="1"/>
        <v>0</v>
      </c>
    </row>
    <row r="47" spans="1:5" x14ac:dyDescent="0.25">
      <c r="A47">
        <v>104</v>
      </c>
      <c r="B47" t="s">
        <v>334</v>
      </c>
      <c r="C47">
        <v>440</v>
      </c>
      <c r="D47" t="s">
        <v>171</v>
      </c>
      <c r="E47">
        <f t="shared" si="1"/>
        <v>0</v>
      </c>
    </row>
    <row r="48" spans="1:5" x14ac:dyDescent="0.25">
      <c r="A48">
        <v>108</v>
      </c>
      <c r="B48" t="s">
        <v>334</v>
      </c>
      <c r="C48">
        <v>436</v>
      </c>
      <c r="D48" t="s">
        <v>169</v>
      </c>
      <c r="E48">
        <f t="shared" si="1"/>
        <v>0</v>
      </c>
    </row>
    <row r="49" spans="1:23" x14ac:dyDescent="0.25">
      <c r="D49" t="s">
        <v>382</v>
      </c>
      <c r="E49" s="163">
        <v>25</v>
      </c>
    </row>
    <row r="50" spans="1:23" x14ac:dyDescent="0.25">
      <c r="D50" t="s">
        <v>387</v>
      </c>
      <c r="E50" s="163">
        <f>COUNTIF(E24:E48,"I")</f>
        <v>0</v>
      </c>
    </row>
    <row r="51" spans="1:23" x14ac:dyDescent="0.25">
      <c r="D51" t="s">
        <v>389</v>
      </c>
      <c r="E51" s="220">
        <f>1-E52</f>
        <v>1</v>
      </c>
    </row>
    <row r="52" spans="1:23" x14ac:dyDescent="0.25">
      <c r="D52" t="s">
        <v>388</v>
      </c>
      <c r="E52" s="220">
        <f>E50/E49</f>
        <v>0</v>
      </c>
    </row>
    <row r="53" spans="1:23" ht="17.25" x14ac:dyDescent="0.4">
      <c r="A53" t="s">
        <v>226</v>
      </c>
      <c r="B53" t="s">
        <v>348</v>
      </c>
      <c r="C53" t="s">
        <v>381</v>
      </c>
      <c r="D53" t="s">
        <v>194</v>
      </c>
      <c r="E53" t="s">
        <v>377</v>
      </c>
      <c r="F53" t="s">
        <v>369</v>
      </c>
      <c r="G53" t="s">
        <v>370</v>
      </c>
      <c r="H53" t="s">
        <v>371</v>
      </c>
      <c r="I53" t="s">
        <v>372</v>
      </c>
      <c r="J53" t="s">
        <v>373</v>
      </c>
      <c r="K53" t="s">
        <v>374</v>
      </c>
      <c r="L53" t="s">
        <v>375</v>
      </c>
      <c r="M53" t="s">
        <v>376</v>
      </c>
      <c r="N53" t="s">
        <v>378</v>
      </c>
      <c r="O53" t="s">
        <v>379</v>
      </c>
      <c r="P53" t="s">
        <v>380</v>
      </c>
      <c r="Q53" s="225" t="s">
        <v>398</v>
      </c>
    </row>
    <row r="54" spans="1:23" x14ac:dyDescent="0.25">
      <c r="A54">
        <v>13</v>
      </c>
      <c r="B54" t="s">
        <v>335</v>
      </c>
      <c r="C54">
        <v>531</v>
      </c>
      <c r="D54" t="s">
        <v>301</v>
      </c>
      <c r="E54">
        <f t="shared" ref="E54:E62" si="2">IFERROR((VLOOKUP(C54,DATA_LOG,3,0)),0)</f>
        <v>0</v>
      </c>
      <c r="S54" s="222">
        <v>13</v>
      </c>
      <c r="T54" s="222">
        <v>72</v>
      </c>
      <c r="U54" s="222">
        <v>79</v>
      </c>
      <c r="V54" s="222">
        <v>81</v>
      </c>
      <c r="W54" s="222">
        <v>93</v>
      </c>
    </row>
    <row r="55" spans="1:23" x14ac:dyDescent="0.25">
      <c r="A55">
        <v>72</v>
      </c>
      <c r="B55" t="s">
        <v>335</v>
      </c>
      <c r="C55">
        <v>472</v>
      </c>
      <c r="D55" t="s">
        <v>130</v>
      </c>
      <c r="E55">
        <f t="shared" si="2"/>
        <v>0</v>
      </c>
      <c r="S55" s="222">
        <v>95</v>
      </c>
      <c r="T55" s="222">
        <v>98</v>
      </c>
      <c r="U55" s="222">
        <v>102</v>
      </c>
      <c r="V55" s="222">
        <v>105</v>
      </c>
      <c r="W55" s="222"/>
    </row>
    <row r="56" spans="1:23" x14ac:dyDescent="0.25">
      <c r="A56">
        <v>79</v>
      </c>
      <c r="B56" t="s">
        <v>335</v>
      </c>
      <c r="C56">
        <v>465</v>
      </c>
      <c r="D56" t="s">
        <v>185</v>
      </c>
      <c r="E56">
        <f t="shared" si="2"/>
        <v>0</v>
      </c>
    </row>
    <row r="57" spans="1:23" x14ac:dyDescent="0.25">
      <c r="A57">
        <v>81</v>
      </c>
      <c r="B57" t="s">
        <v>335</v>
      </c>
      <c r="C57">
        <v>463</v>
      </c>
      <c r="D57" t="s">
        <v>293</v>
      </c>
      <c r="E57">
        <f t="shared" si="2"/>
        <v>0</v>
      </c>
    </row>
    <row r="58" spans="1:23" x14ac:dyDescent="0.25">
      <c r="A58">
        <v>93</v>
      </c>
      <c r="B58" t="s">
        <v>335</v>
      </c>
      <c r="C58">
        <v>451</v>
      </c>
      <c r="D58" t="s">
        <v>131</v>
      </c>
      <c r="E58">
        <f t="shared" si="2"/>
        <v>0</v>
      </c>
    </row>
    <row r="59" spans="1:23" x14ac:dyDescent="0.25">
      <c r="A59">
        <v>95</v>
      </c>
      <c r="B59" t="s">
        <v>335</v>
      </c>
      <c r="C59">
        <v>449</v>
      </c>
      <c r="D59" t="s">
        <v>133</v>
      </c>
      <c r="E59">
        <f t="shared" si="2"/>
        <v>0</v>
      </c>
    </row>
    <row r="60" spans="1:23" x14ac:dyDescent="0.25">
      <c r="A60">
        <v>98</v>
      </c>
      <c r="B60" t="s">
        <v>335</v>
      </c>
      <c r="C60">
        <v>446</v>
      </c>
      <c r="D60" t="s">
        <v>176</v>
      </c>
      <c r="E60">
        <f t="shared" si="2"/>
        <v>0</v>
      </c>
    </row>
    <row r="61" spans="1:23" x14ac:dyDescent="0.25">
      <c r="A61">
        <v>102</v>
      </c>
      <c r="B61" t="s">
        <v>335</v>
      </c>
      <c r="C61">
        <v>442</v>
      </c>
      <c r="D61" t="s">
        <v>135</v>
      </c>
      <c r="E61">
        <f t="shared" si="2"/>
        <v>0</v>
      </c>
    </row>
    <row r="62" spans="1:23" x14ac:dyDescent="0.25">
      <c r="A62">
        <v>105</v>
      </c>
      <c r="B62" t="s">
        <v>335</v>
      </c>
      <c r="C62">
        <v>439</v>
      </c>
      <c r="D62" t="s">
        <v>136</v>
      </c>
      <c r="E62">
        <f t="shared" si="2"/>
        <v>0</v>
      </c>
    </row>
    <row r="63" spans="1:23" x14ac:dyDescent="0.25">
      <c r="D63" t="s">
        <v>382</v>
      </c>
      <c r="E63" s="163">
        <v>9</v>
      </c>
    </row>
    <row r="64" spans="1:23" x14ac:dyDescent="0.25">
      <c r="D64" t="s">
        <v>387</v>
      </c>
      <c r="E64" s="163">
        <f>COUNTIF(E54:E62,"I")</f>
        <v>0</v>
      </c>
    </row>
    <row r="65" spans="1:29" x14ac:dyDescent="0.25">
      <c r="D65" t="s">
        <v>389</v>
      </c>
      <c r="E65" s="220">
        <f>1-E66</f>
        <v>1</v>
      </c>
    </row>
    <row r="66" spans="1:29" x14ac:dyDescent="0.25">
      <c r="D66" t="s">
        <v>388</v>
      </c>
      <c r="E66" s="220">
        <f>E64/E63</f>
        <v>0</v>
      </c>
    </row>
    <row r="68" spans="1:29" ht="17.25" x14ac:dyDescent="0.4">
      <c r="A68" t="s">
        <v>226</v>
      </c>
      <c r="B68" t="s">
        <v>348</v>
      </c>
      <c r="C68" t="s">
        <v>381</v>
      </c>
      <c r="D68" t="s">
        <v>194</v>
      </c>
      <c r="E68" t="s">
        <v>377</v>
      </c>
      <c r="F68" t="s">
        <v>369</v>
      </c>
      <c r="G68" t="s">
        <v>370</v>
      </c>
      <c r="H68" t="s">
        <v>371</v>
      </c>
      <c r="I68" t="s">
        <v>372</v>
      </c>
      <c r="J68" t="s">
        <v>373</v>
      </c>
      <c r="K68" t="s">
        <v>374</v>
      </c>
      <c r="L68" t="s">
        <v>375</v>
      </c>
      <c r="M68" t="s">
        <v>376</v>
      </c>
      <c r="N68" t="s">
        <v>378</v>
      </c>
      <c r="O68" t="s">
        <v>379</v>
      </c>
      <c r="P68" t="s">
        <v>380</v>
      </c>
      <c r="Q68" s="225" t="s">
        <v>399</v>
      </c>
    </row>
    <row r="69" spans="1:29" x14ac:dyDescent="0.25">
      <c r="A69">
        <v>12</v>
      </c>
      <c r="B69" t="s">
        <v>341</v>
      </c>
      <c r="C69">
        <v>532</v>
      </c>
      <c r="D69" t="s">
        <v>300</v>
      </c>
      <c r="E69">
        <f>IFERROR((VLOOKUP(C69,DATA_LOG,3,0)),0)</f>
        <v>0</v>
      </c>
      <c r="S69" s="226">
        <v>12</v>
      </c>
      <c r="T69" s="226">
        <v>14</v>
      </c>
    </row>
    <row r="70" spans="1:29" x14ac:dyDescent="0.25">
      <c r="A70">
        <v>14</v>
      </c>
      <c r="B70" t="s">
        <v>341</v>
      </c>
      <c r="C70">
        <v>530</v>
      </c>
      <c r="D70" t="s">
        <v>311</v>
      </c>
      <c r="E70">
        <f>IFERROR((VLOOKUP(C70,DATA_LOG,3,0)),0)</f>
        <v>0</v>
      </c>
      <c r="S70" s="226">
        <v>97</v>
      </c>
      <c r="T70" s="226">
        <v>99</v>
      </c>
    </row>
    <row r="71" spans="1:29" x14ac:dyDescent="0.25">
      <c r="A71">
        <v>97</v>
      </c>
      <c r="B71" t="s">
        <v>341</v>
      </c>
      <c r="C71">
        <v>447</v>
      </c>
      <c r="D71" t="s">
        <v>295</v>
      </c>
      <c r="E71">
        <f>IFERROR((VLOOKUP(C71,DATA_LOG,3,0)),0)</f>
        <v>0</v>
      </c>
    </row>
    <row r="72" spans="1:29" x14ac:dyDescent="0.25">
      <c r="A72">
        <v>99</v>
      </c>
      <c r="B72" t="s">
        <v>341</v>
      </c>
      <c r="C72">
        <v>445</v>
      </c>
      <c r="D72" t="s">
        <v>175</v>
      </c>
      <c r="E72">
        <f>IFERROR((VLOOKUP(C72,DATA_LOG,3,0)),0)</f>
        <v>0</v>
      </c>
    </row>
    <row r="73" spans="1:29" x14ac:dyDescent="0.25">
      <c r="D73" t="s">
        <v>382</v>
      </c>
      <c r="E73" s="163">
        <v>4</v>
      </c>
    </row>
    <row r="74" spans="1:29" x14ac:dyDescent="0.25">
      <c r="D74" t="s">
        <v>387</v>
      </c>
      <c r="E74" s="163">
        <f>COUNTIF(E69:E72,"I")</f>
        <v>0</v>
      </c>
    </row>
    <row r="75" spans="1:29" x14ac:dyDescent="0.25">
      <c r="D75" t="s">
        <v>389</v>
      </c>
      <c r="E75" s="220">
        <f>1-E76</f>
        <v>1</v>
      </c>
    </row>
    <row r="76" spans="1:29" x14ac:dyDescent="0.25">
      <c r="D76" t="s">
        <v>388</v>
      </c>
      <c r="E76" s="220">
        <f>E74/E73</f>
        <v>0</v>
      </c>
    </row>
    <row r="77" spans="1:29" x14ac:dyDescent="0.25">
      <c r="E77" s="163"/>
    </row>
    <row r="78" spans="1:29" ht="17.25" x14ac:dyDescent="0.4">
      <c r="A78" t="s">
        <v>226</v>
      </c>
      <c r="B78" t="s">
        <v>348</v>
      </c>
      <c r="C78" t="s">
        <v>381</v>
      </c>
      <c r="D78" t="s">
        <v>194</v>
      </c>
      <c r="E78" t="s">
        <v>377</v>
      </c>
      <c r="F78" t="s">
        <v>369</v>
      </c>
      <c r="G78" t="s">
        <v>370</v>
      </c>
      <c r="H78" t="s">
        <v>371</v>
      </c>
      <c r="I78" t="s">
        <v>372</v>
      </c>
      <c r="J78" t="s">
        <v>373</v>
      </c>
      <c r="K78" t="s">
        <v>374</v>
      </c>
      <c r="L78" t="s">
        <v>375</v>
      </c>
      <c r="M78" t="s">
        <v>376</v>
      </c>
      <c r="N78" t="s">
        <v>378</v>
      </c>
      <c r="O78" t="s">
        <v>379</v>
      </c>
      <c r="P78" t="s">
        <v>380</v>
      </c>
      <c r="Q78" s="225" t="s">
        <v>409</v>
      </c>
    </row>
    <row r="79" spans="1:29" x14ac:dyDescent="0.25">
      <c r="A79">
        <v>21</v>
      </c>
      <c r="B79" t="s">
        <v>336</v>
      </c>
      <c r="C79">
        <v>523</v>
      </c>
      <c r="D79" t="s">
        <v>102</v>
      </c>
      <c r="E79">
        <f t="shared" ref="E79:E86" si="3">IFERROR((VLOOKUP(C79,DATA_LOG,3,0)),0)</f>
        <v>0</v>
      </c>
      <c r="S79" s="226">
        <f t="array" ref="S79:V79">TRANSPOSE(A79:A82)</f>
        <v>21</v>
      </c>
      <c r="T79" s="226">
        <v>25</v>
      </c>
      <c r="U79" s="226">
        <v>38</v>
      </c>
      <c r="V79" s="226">
        <v>41</v>
      </c>
      <c r="AA79" s="150">
        <v>92</v>
      </c>
      <c r="AB79" s="150">
        <v>155</v>
      </c>
      <c r="AC79" s="150">
        <v>132</v>
      </c>
    </row>
    <row r="80" spans="1:29" x14ac:dyDescent="0.25">
      <c r="A80">
        <v>25</v>
      </c>
      <c r="B80" t="s">
        <v>336</v>
      </c>
      <c r="C80">
        <v>519</v>
      </c>
      <c r="D80" t="s">
        <v>153</v>
      </c>
      <c r="E80">
        <f t="shared" si="3"/>
        <v>0</v>
      </c>
      <c r="S80" s="226">
        <f t="array" ref="S80:V80">TRANSPOSE(A83:A86)</f>
        <v>42</v>
      </c>
      <c r="T80" s="226">
        <v>100</v>
      </c>
      <c r="U80" s="226">
        <v>103</v>
      </c>
      <c r="V80" s="226">
        <v>111</v>
      </c>
    </row>
    <row r="81" spans="1:22" x14ac:dyDescent="0.25">
      <c r="A81">
        <v>38</v>
      </c>
      <c r="B81" t="s">
        <v>336</v>
      </c>
      <c r="C81">
        <v>506</v>
      </c>
      <c r="D81" t="s">
        <v>108</v>
      </c>
      <c r="E81">
        <f t="shared" si="3"/>
        <v>0</v>
      </c>
    </row>
    <row r="82" spans="1:22" x14ac:dyDescent="0.25">
      <c r="A82">
        <v>41</v>
      </c>
      <c r="B82" t="s">
        <v>336</v>
      </c>
      <c r="C82">
        <v>503</v>
      </c>
      <c r="D82" t="s">
        <v>155</v>
      </c>
      <c r="E82">
        <f t="shared" si="3"/>
        <v>0</v>
      </c>
    </row>
    <row r="83" spans="1:22" x14ac:dyDescent="0.25">
      <c r="A83">
        <v>42</v>
      </c>
      <c r="B83" t="s">
        <v>336</v>
      </c>
      <c r="C83">
        <v>502</v>
      </c>
      <c r="D83" t="s">
        <v>109</v>
      </c>
      <c r="E83">
        <f t="shared" si="3"/>
        <v>0</v>
      </c>
    </row>
    <row r="84" spans="1:22" x14ac:dyDescent="0.25">
      <c r="A84">
        <v>100</v>
      </c>
      <c r="B84" t="s">
        <v>336</v>
      </c>
      <c r="C84">
        <v>444</v>
      </c>
      <c r="D84" t="s">
        <v>174</v>
      </c>
      <c r="E84">
        <f t="shared" si="3"/>
        <v>0</v>
      </c>
    </row>
    <row r="85" spans="1:22" x14ac:dyDescent="0.25">
      <c r="A85">
        <v>103</v>
      </c>
      <c r="B85" t="s">
        <v>336</v>
      </c>
      <c r="C85">
        <v>441</v>
      </c>
      <c r="D85" t="s">
        <v>172</v>
      </c>
      <c r="E85">
        <f t="shared" si="3"/>
        <v>0</v>
      </c>
    </row>
    <row r="86" spans="1:22" x14ac:dyDescent="0.25">
      <c r="A86">
        <v>111</v>
      </c>
      <c r="B86" t="s">
        <v>336</v>
      </c>
      <c r="C86">
        <v>546</v>
      </c>
      <c r="D86" t="s">
        <v>282</v>
      </c>
      <c r="E86">
        <f t="shared" si="3"/>
        <v>0</v>
      </c>
    </row>
    <row r="87" spans="1:22" x14ac:dyDescent="0.25">
      <c r="D87" t="s">
        <v>382</v>
      </c>
      <c r="E87" s="163">
        <v>8</v>
      </c>
    </row>
    <row r="88" spans="1:22" x14ac:dyDescent="0.25">
      <c r="D88" t="s">
        <v>387</v>
      </c>
      <c r="E88" s="163">
        <f>COUNTIF(E79:E86,"I")</f>
        <v>0</v>
      </c>
    </row>
    <row r="89" spans="1:22" x14ac:dyDescent="0.25">
      <c r="D89" t="s">
        <v>389</v>
      </c>
      <c r="E89" s="220">
        <f>1-E90</f>
        <v>1</v>
      </c>
    </row>
    <row r="90" spans="1:22" x14ac:dyDescent="0.25">
      <c r="D90" t="s">
        <v>388</v>
      </c>
      <c r="E90" s="220">
        <f>E88/E87</f>
        <v>0</v>
      </c>
    </row>
    <row r="92" spans="1:22" ht="17.25" x14ac:dyDescent="0.4">
      <c r="A92" t="s">
        <v>226</v>
      </c>
      <c r="B92" t="s">
        <v>348</v>
      </c>
      <c r="C92" t="s">
        <v>381</v>
      </c>
      <c r="D92" t="s">
        <v>194</v>
      </c>
      <c r="E92" t="s">
        <v>377</v>
      </c>
      <c r="F92" t="s">
        <v>369</v>
      </c>
      <c r="G92" t="s">
        <v>370</v>
      </c>
      <c r="H92" t="s">
        <v>371</v>
      </c>
      <c r="I92" t="s">
        <v>372</v>
      </c>
      <c r="J92" t="s">
        <v>373</v>
      </c>
      <c r="K92" t="s">
        <v>374</v>
      </c>
      <c r="L92" t="s">
        <v>375</v>
      </c>
      <c r="M92" t="s">
        <v>376</v>
      </c>
      <c r="N92" t="s">
        <v>378</v>
      </c>
      <c r="O92" t="s">
        <v>379</v>
      </c>
      <c r="P92" t="s">
        <v>380</v>
      </c>
      <c r="Q92" s="225" t="s">
        <v>404</v>
      </c>
    </row>
    <row r="93" spans="1:22" x14ac:dyDescent="0.25">
      <c r="A93">
        <v>6</v>
      </c>
      <c r="B93" t="s">
        <v>337</v>
      </c>
      <c r="C93">
        <v>538</v>
      </c>
      <c r="D93" t="s">
        <v>291</v>
      </c>
      <c r="E93">
        <f t="shared" ref="E93:E99" si="4">IFERROR((VLOOKUP(C93,DATA_LOG,3,0)),0)</f>
        <v>0</v>
      </c>
      <c r="S93" s="226">
        <v>6</v>
      </c>
      <c r="T93" s="226">
        <v>19</v>
      </c>
      <c r="U93" s="226">
        <v>43</v>
      </c>
      <c r="V93" s="226">
        <v>44</v>
      </c>
    </row>
    <row r="94" spans="1:22" x14ac:dyDescent="0.25">
      <c r="A94">
        <v>19</v>
      </c>
      <c r="B94" t="s">
        <v>337</v>
      </c>
      <c r="C94">
        <v>525</v>
      </c>
      <c r="D94" t="s">
        <v>309</v>
      </c>
      <c r="E94" t="str">
        <f t="shared" si="4"/>
        <v>I</v>
      </c>
      <c r="S94" s="226">
        <v>45</v>
      </c>
      <c r="T94" s="226">
        <v>46</v>
      </c>
      <c r="U94" s="226">
        <v>47</v>
      </c>
      <c r="V94" s="226"/>
    </row>
    <row r="95" spans="1:22" x14ac:dyDescent="0.25">
      <c r="A95">
        <v>43</v>
      </c>
      <c r="B95" t="s">
        <v>337</v>
      </c>
      <c r="C95">
        <v>501</v>
      </c>
      <c r="D95" t="s">
        <v>110</v>
      </c>
      <c r="E95">
        <f t="shared" si="4"/>
        <v>0</v>
      </c>
    </row>
    <row r="96" spans="1:22" x14ac:dyDescent="0.25">
      <c r="A96">
        <v>44</v>
      </c>
      <c r="B96" t="s">
        <v>337</v>
      </c>
      <c r="C96">
        <v>500</v>
      </c>
      <c r="D96" t="s">
        <v>111</v>
      </c>
      <c r="E96">
        <f t="shared" si="4"/>
        <v>0</v>
      </c>
    </row>
    <row r="97" spans="1:22" x14ac:dyDescent="0.25">
      <c r="A97">
        <v>45</v>
      </c>
      <c r="B97" t="s">
        <v>337</v>
      </c>
      <c r="C97">
        <v>499</v>
      </c>
      <c r="D97" t="s">
        <v>156</v>
      </c>
      <c r="E97">
        <f t="shared" si="4"/>
        <v>0</v>
      </c>
    </row>
    <row r="98" spans="1:22" x14ac:dyDescent="0.25">
      <c r="A98">
        <v>46</v>
      </c>
      <c r="B98" t="s">
        <v>337</v>
      </c>
      <c r="C98">
        <v>498</v>
      </c>
      <c r="D98" t="s">
        <v>157</v>
      </c>
      <c r="E98">
        <f t="shared" si="4"/>
        <v>0</v>
      </c>
    </row>
    <row r="99" spans="1:22" x14ac:dyDescent="0.25">
      <c r="A99">
        <v>47</v>
      </c>
      <c r="B99" t="s">
        <v>337</v>
      </c>
      <c r="C99">
        <v>497</v>
      </c>
      <c r="D99" t="s">
        <v>158</v>
      </c>
      <c r="E99">
        <f t="shared" si="4"/>
        <v>0</v>
      </c>
    </row>
    <row r="100" spans="1:22" x14ac:dyDescent="0.25">
      <c r="D100" t="s">
        <v>382</v>
      </c>
      <c r="E100" s="163">
        <v>7</v>
      </c>
    </row>
    <row r="101" spans="1:22" x14ac:dyDescent="0.25">
      <c r="D101" t="s">
        <v>387</v>
      </c>
      <c r="E101" s="163">
        <f>COUNTIF(E93:E99,"I")</f>
        <v>1</v>
      </c>
    </row>
    <row r="102" spans="1:22" x14ac:dyDescent="0.25">
      <c r="D102" t="s">
        <v>389</v>
      </c>
      <c r="E102" s="220">
        <f>1-E103</f>
        <v>0.85714285714285721</v>
      </c>
    </row>
    <row r="103" spans="1:22" x14ac:dyDescent="0.25">
      <c r="D103" t="s">
        <v>388</v>
      </c>
      <c r="E103" s="220">
        <f>E101/E100</f>
        <v>0.14285714285714285</v>
      </c>
    </row>
    <row r="105" spans="1:22" ht="17.25" x14ac:dyDescent="0.4">
      <c r="A105" t="s">
        <v>226</v>
      </c>
      <c r="B105" t="s">
        <v>348</v>
      </c>
      <c r="C105" t="s">
        <v>381</v>
      </c>
      <c r="D105" t="s">
        <v>194</v>
      </c>
      <c r="E105" t="s">
        <v>377</v>
      </c>
      <c r="F105" t="s">
        <v>369</v>
      </c>
      <c r="G105" t="s">
        <v>370</v>
      </c>
      <c r="H105" t="s">
        <v>371</v>
      </c>
      <c r="I105" t="s">
        <v>372</v>
      </c>
      <c r="J105" t="s">
        <v>373</v>
      </c>
      <c r="K105" t="s">
        <v>374</v>
      </c>
      <c r="L105" t="s">
        <v>375</v>
      </c>
      <c r="M105" t="s">
        <v>376</v>
      </c>
      <c r="N105" t="s">
        <v>378</v>
      </c>
      <c r="O105" t="s">
        <v>379</v>
      </c>
      <c r="P105" t="s">
        <v>380</v>
      </c>
      <c r="Q105" s="225" t="s">
        <v>405</v>
      </c>
    </row>
    <row r="106" spans="1:22" x14ac:dyDescent="0.25">
      <c r="A106">
        <v>26</v>
      </c>
      <c r="B106" t="s">
        <v>344</v>
      </c>
      <c r="C106">
        <v>518</v>
      </c>
      <c r="D106" t="s">
        <v>105</v>
      </c>
      <c r="E106">
        <f t="shared" ref="E106:E112" si="5">IFERROR((VLOOKUP(C106,DATA_LOG,3,0)),0)</f>
        <v>0</v>
      </c>
      <c r="S106" s="226">
        <v>26</v>
      </c>
      <c r="T106" s="226">
        <v>27</v>
      </c>
      <c r="U106" s="226">
        <v>28</v>
      </c>
      <c r="V106" s="226">
        <v>29</v>
      </c>
    </row>
    <row r="107" spans="1:22" x14ac:dyDescent="0.25">
      <c r="A107">
        <v>27</v>
      </c>
      <c r="B107" t="s">
        <v>344</v>
      </c>
      <c r="C107">
        <v>517</v>
      </c>
      <c r="D107" t="s">
        <v>146</v>
      </c>
      <c r="E107">
        <f t="shared" si="5"/>
        <v>0</v>
      </c>
      <c r="S107" s="226">
        <v>39</v>
      </c>
      <c r="T107" s="226">
        <v>85</v>
      </c>
      <c r="U107" s="226">
        <v>106</v>
      </c>
      <c r="V107" s="226"/>
    </row>
    <row r="108" spans="1:22" x14ac:dyDescent="0.25">
      <c r="A108">
        <v>28</v>
      </c>
      <c r="B108" t="s">
        <v>344</v>
      </c>
      <c r="C108">
        <v>516</v>
      </c>
      <c r="D108" t="s">
        <v>106</v>
      </c>
      <c r="E108">
        <f t="shared" si="5"/>
        <v>0</v>
      </c>
    </row>
    <row r="109" spans="1:22" x14ac:dyDescent="0.25">
      <c r="A109">
        <v>29</v>
      </c>
      <c r="B109" t="s">
        <v>344</v>
      </c>
      <c r="C109">
        <v>515</v>
      </c>
      <c r="D109" t="s">
        <v>147</v>
      </c>
      <c r="E109">
        <f t="shared" si="5"/>
        <v>0</v>
      </c>
    </row>
    <row r="110" spans="1:22" x14ac:dyDescent="0.25">
      <c r="A110">
        <v>39</v>
      </c>
      <c r="B110" t="s">
        <v>344</v>
      </c>
      <c r="C110">
        <v>505</v>
      </c>
      <c r="D110" t="s">
        <v>104</v>
      </c>
      <c r="E110">
        <f t="shared" si="5"/>
        <v>0</v>
      </c>
    </row>
    <row r="111" spans="1:22" x14ac:dyDescent="0.25">
      <c r="A111">
        <v>85</v>
      </c>
      <c r="B111" t="s">
        <v>344</v>
      </c>
      <c r="C111">
        <v>459</v>
      </c>
      <c r="D111" t="s">
        <v>181</v>
      </c>
      <c r="E111">
        <f t="shared" si="5"/>
        <v>0</v>
      </c>
    </row>
    <row r="112" spans="1:22" x14ac:dyDescent="0.25">
      <c r="A112">
        <v>106</v>
      </c>
      <c r="B112" t="s">
        <v>344</v>
      </c>
      <c r="C112">
        <v>438</v>
      </c>
      <c r="D112" t="s">
        <v>137</v>
      </c>
      <c r="E112">
        <f t="shared" si="5"/>
        <v>0</v>
      </c>
    </row>
    <row r="113" spans="1:30" x14ac:dyDescent="0.25">
      <c r="D113" t="s">
        <v>382</v>
      </c>
      <c r="E113" s="163">
        <v>7</v>
      </c>
    </row>
    <row r="114" spans="1:30" x14ac:dyDescent="0.25">
      <c r="D114" t="s">
        <v>387</v>
      </c>
      <c r="E114" s="163">
        <f>COUNTIF(E106:E112,"I")</f>
        <v>0</v>
      </c>
    </row>
    <row r="115" spans="1:30" x14ac:dyDescent="0.25">
      <c r="D115" t="s">
        <v>389</v>
      </c>
      <c r="E115" s="220">
        <f>1-E116</f>
        <v>1</v>
      </c>
    </row>
    <row r="116" spans="1:30" x14ac:dyDescent="0.25">
      <c r="D116" t="s">
        <v>388</v>
      </c>
      <c r="E116" s="220">
        <f>E114/E113</f>
        <v>0</v>
      </c>
    </row>
    <row r="118" spans="1:30" ht="17.25" x14ac:dyDescent="0.4">
      <c r="A118" t="s">
        <v>226</v>
      </c>
      <c r="B118" t="s">
        <v>348</v>
      </c>
      <c r="C118" t="s">
        <v>381</v>
      </c>
      <c r="D118" t="s">
        <v>194</v>
      </c>
      <c r="E118" t="s">
        <v>377</v>
      </c>
      <c r="F118" t="s">
        <v>369</v>
      </c>
      <c r="G118" t="s">
        <v>370</v>
      </c>
      <c r="H118" t="s">
        <v>371</v>
      </c>
      <c r="I118" t="s">
        <v>372</v>
      </c>
      <c r="J118" t="s">
        <v>373</v>
      </c>
      <c r="K118" t="s">
        <v>374</v>
      </c>
      <c r="L118" t="s">
        <v>375</v>
      </c>
      <c r="M118" t="s">
        <v>376</v>
      </c>
      <c r="N118" t="s">
        <v>378</v>
      </c>
      <c r="O118" t="s">
        <v>379</v>
      </c>
      <c r="P118" t="s">
        <v>380</v>
      </c>
      <c r="Q118" s="225" t="s">
        <v>406</v>
      </c>
    </row>
    <row r="119" spans="1:30" x14ac:dyDescent="0.25">
      <c r="A119">
        <v>18</v>
      </c>
      <c r="B119" t="s">
        <v>338</v>
      </c>
      <c r="C119">
        <v>526</v>
      </c>
      <c r="D119" t="s">
        <v>143</v>
      </c>
      <c r="E119">
        <f>IFERROR((VLOOKUP(C119,DATA_LOG,3,0)),0)</f>
        <v>0</v>
      </c>
      <c r="S119" s="226">
        <v>18</v>
      </c>
      <c r="T119" s="226">
        <v>22</v>
      </c>
    </row>
    <row r="120" spans="1:30" x14ac:dyDescent="0.25">
      <c r="A120">
        <v>22</v>
      </c>
      <c r="B120" t="s">
        <v>338</v>
      </c>
      <c r="C120">
        <v>522</v>
      </c>
      <c r="D120" t="s">
        <v>144</v>
      </c>
      <c r="E120">
        <f>IFERROR((VLOOKUP(C119,DATA_LOG,3,0)),0)</f>
        <v>0</v>
      </c>
      <c r="S120" s="226">
        <v>23</v>
      </c>
      <c r="T120" s="226">
        <v>91</v>
      </c>
    </row>
    <row r="121" spans="1:30" x14ac:dyDescent="0.25">
      <c r="A121">
        <v>23</v>
      </c>
      <c r="B121" t="s">
        <v>338</v>
      </c>
      <c r="C121">
        <v>521</v>
      </c>
      <c r="D121" t="s">
        <v>145</v>
      </c>
      <c r="E121">
        <f>IFERROR((VLOOKUP(C121,DATA_LOG,3,0)),0)</f>
        <v>0</v>
      </c>
    </row>
    <row r="122" spans="1:30" x14ac:dyDescent="0.25">
      <c r="A122">
        <v>91</v>
      </c>
      <c r="B122" t="s">
        <v>338</v>
      </c>
      <c r="C122">
        <v>453</v>
      </c>
      <c r="D122" t="s">
        <v>103</v>
      </c>
      <c r="E122">
        <f>IFERROR((VLOOKUP(C122,DATA_LOG,3,0)),0)</f>
        <v>0</v>
      </c>
      <c r="U122" s="227"/>
    </row>
    <row r="123" spans="1:30" x14ac:dyDescent="0.25">
      <c r="D123" t="s">
        <v>382</v>
      </c>
      <c r="E123" s="163">
        <v>4</v>
      </c>
    </row>
    <row r="124" spans="1:30" x14ac:dyDescent="0.25">
      <c r="D124" t="s">
        <v>387</v>
      </c>
      <c r="E124" s="163">
        <f>COUNTIF(E119:E122,"I")</f>
        <v>0</v>
      </c>
      <c r="AB124" s="150">
        <v>222</v>
      </c>
      <c r="AC124" s="150">
        <v>128</v>
      </c>
      <c r="AD124" s="150">
        <v>66</v>
      </c>
    </row>
    <row r="125" spans="1:30" x14ac:dyDescent="0.25">
      <c r="D125" t="s">
        <v>389</v>
      </c>
      <c r="E125" s="220">
        <f>1-E126</f>
        <v>1</v>
      </c>
    </row>
    <row r="126" spans="1:30" x14ac:dyDescent="0.25">
      <c r="D126" t="s">
        <v>388</v>
      </c>
      <c r="E126" s="220">
        <f>E124/E123</f>
        <v>0</v>
      </c>
    </row>
    <row r="128" spans="1:30" ht="17.25" x14ac:dyDescent="0.4">
      <c r="A128" t="s">
        <v>226</v>
      </c>
      <c r="B128" t="s">
        <v>348</v>
      </c>
      <c r="C128" t="s">
        <v>381</v>
      </c>
      <c r="D128" t="s">
        <v>194</v>
      </c>
      <c r="E128" t="s">
        <v>377</v>
      </c>
      <c r="F128" t="s">
        <v>369</v>
      </c>
      <c r="G128" t="s">
        <v>370</v>
      </c>
      <c r="H128" t="s">
        <v>371</v>
      </c>
      <c r="I128" t="s">
        <v>372</v>
      </c>
      <c r="J128" t="s">
        <v>373</v>
      </c>
      <c r="K128" t="s">
        <v>374</v>
      </c>
      <c r="L128" t="s">
        <v>375</v>
      </c>
      <c r="M128" t="s">
        <v>376</v>
      </c>
      <c r="N128" t="s">
        <v>378</v>
      </c>
      <c r="O128" t="s">
        <v>379</v>
      </c>
      <c r="P128" t="s">
        <v>380</v>
      </c>
      <c r="Q128" s="225" t="s">
        <v>407</v>
      </c>
    </row>
    <row r="129" spans="1:22" x14ac:dyDescent="0.25">
      <c r="A129">
        <v>10</v>
      </c>
      <c r="B129" t="s">
        <v>342</v>
      </c>
      <c r="C129">
        <v>534</v>
      </c>
      <c r="D129" t="s">
        <v>184</v>
      </c>
      <c r="E129">
        <f t="shared" ref="E129:E135" si="6">IFERROR((VLOOKUP(C129,DATA_LOG,3,0)),0)</f>
        <v>0</v>
      </c>
      <c r="S129" s="226">
        <v>10</v>
      </c>
      <c r="T129" s="226">
        <v>11</v>
      </c>
      <c r="U129" s="226">
        <v>30</v>
      </c>
      <c r="V129" s="226">
        <v>78</v>
      </c>
    </row>
    <row r="130" spans="1:22" x14ac:dyDescent="0.25">
      <c r="A130">
        <v>11</v>
      </c>
      <c r="B130" t="s">
        <v>342</v>
      </c>
      <c r="C130">
        <v>533</v>
      </c>
      <c r="D130" t="s">
        <v>310</v>
      </c>
      <c r="E130">
        <f t="shared" si="6"/>
        <v>0</v>
      </c>
      <c r="S130" s="226">
        <v>88</v>
      </c>
      <c r="T130" s="226">
        <v>96</v>
      </c>
      <c r="U130" s="226">
        <v>101</v>
      </c>
      <c r="V130" s="226"/>
    </row>
    <row r="131" spans="1:22" x14ac:dyDescent="0.25">
      <c r="A131">
        <v>30</v>
      </c>
      <c r="B131" t="s">
        <v>342</v>
      </c>
      <c r="C131">
        <v>514</v>
      </c>
      <c r="D131" t="s">
        <v>124</v>
      </c>
      <c r="E131">
        <f t="shared" si="6"/>
        <v>0</v>
      </c>
    </row>
    <row r="132" spans="1:22" x14ac:dyDescent="0.25">
      <c r="A132">
        <v>78</v>
      </c>
      <c r="B132" t="s">
        <v>342</v>
      </c>
      <c r="C132">
        <v>466</v>
      </c>
      <c r="D132" t="s">
        <v>125</v>
      </c>
      <c r="E132">
        <f t="shared" si="6"/>
        <v>0</v>
      </c>
    </row>
    <row r="133" spans="1:22" x14ac:dyDescent="0.25">
      <c r="A133">
        <v>88</v>
      </c>
      <c r="B133" t="s">
        <v>342</v>
      </c>
      <c r="C133">
        <v>456</v>
      </c>
      <c r="D133" t="s">
        <v>128</v>
      </c>
      <c r="E133">
        <f t="shared" si="6"/>
        <v>0</v>
      </c>
    </row>
    <row r="134" spans="1:22" x14ac:dyDescent="0.25">
      <c r="A134">
        <v>96</v>
      </c>
      <c r="B134" t="s">
        <v>342</v>
      </c>
      <c r="C134">
        <v>448</v>
      </c>
      <c r="D134" t="s">
        <v>177</v>
      </c>
      <c r="E134">
        <f t="shared" si="6"/>
        <v>0</v>
      </c>
    </row>
    <row r="135" spans="1:22" x14ac:dyDescent="0.25">
      <c r="A135">
        <v>101</v>
      </c>
      <c r="B135" t="s">
        <v>342</v>
      </c>
      <c r="C135">
        <v>443</v>
      </c>
      <c r="D135" t="s">
        <v>173</v>
      </c>
      <c r="E135">
        <f t="shared" si="6"/>
        <v>0</v>
      </c>
    </row>
    <row r="136" spans="1:22" x14ac:dyDescent="0.25">
      <c r="D136" t="s">
        <v>382</v>
      </c>
      <c r="E136" s="163">
        <v>7</v>
      </c>
    </row>
    <row r="137" spans="1:22" x14ac:dyDescent="0.25">
      <c r="D137" t="s">
        <v>387</v>
      </c>
      <c r="E137" s="163">
        <f>COUNTIF(E129:E135,"I")</f>
        <v>0</v>
      </c>
    </row>
    <row r="138" spans="1:22" x14ac:dyDescent="0.25">
      <c r="D138" t="s">
        <v>389</v>
      </c>
      <c r="E138" s="220">
        <f>1-E139</f>
        <v>1</v>
      </c>
    </row>
    <row r="139" spans="1:22" x14ac:dyDescent="0.25">
      <c r="D139" t="s">
        <v>388</v>
      </c>
      <c r="E139" s="220">
        <f>E137/E136</f>
        <v>0</v>
      </c>
    </row>
    <row r="141" spans="1:22" ht="17.25" x14ac:dyDescent="0.4">
      <c r="A141" t="s">
        <v>226</v>
      </c>
      <c r="B141" t="s">
        <v>348</v>
      </c>
      <c r="C141" t="s">
        <v>381</v>
      </c>
      <c r="D141" t="s">
        <v>194</v>
      </c>
      <c r="E141" t="s">
        <v>377</v>
      </c>
      <c r="F141" t="s">
        <v>369</v>
      </c>
      <c r="G141" t="s">
        <v>370</v>
      </c>
      <c r="H141" t="s">
        <v>371</v>
      </c>
      <c r="I141" t="s">
        <v>372</v>
      </c>
      <c r="J141" t="s">
        <v>373</v>
      </c>
      <c r="K141" t="s">
        <v>374</v>
      </c>
      <c r="L141" t="s">
        <v>375</v>
      </c>
      <c r="M141" t="s">
        <v>376</v>
      </c>
      <c r="N141" t="s">
        <v>378</v>
      </c>
      <c r="O141" t="s">
        <v>379</v>
      </c>
      <c r="P141" t="s">
        <v>380</v>
      </c>
      <c r="Q141" s="225" t="s">
        <v>408</v>
      </c>
    </row>
    <row r="142" spans="1:22" x14ac:dyDescent="0.25">
      <c r="A142">
        <v>20</v>
      </c>
      <c r="B142" t="s">
        <v>339</v>
      </c>
      <c r="C142">
        <v>524</v>
      </c>
      <c r="D142" t="s">
        <v>189</v>
      </c>
      <c r="E142">
        <f t="shared" ref="E142:E150" si="7">IFERROR((VLOOKUP(C142,DATA_LOG,3,0)),0)</f>
        <v>0</v>
      </c>
      <c r="R142" s="226">
        <v>20</v>
      </c>
      <c r="S142" s="226">
        <v>63</v>
      </c>
      <c r="T142" s="226">
        <v>64</v>
      </c>
      <c r="U142" s="226">
        <v>65</v>
      </c>
      <c r="V142" s="226">
        <v>66</v>
      </c>
    </row>
    <row r="143" spans="1:22" x14ac:dyDescent="0.25">
      <c r="A143">
        <v>63</v>
      </c>
      <c r="B143" t="s">
        <v>339</v>
      </c>
      <c r="C143">
        <v>481</v>
      </c>
      <c r="D143" t="s">
        <v>120</v>
      </c>
      <c r="E143">
        <f t="shared" si="7"/>
        <v>0</v>
      </c>
      <c r="R143" s="226">
        <v>67</v>
      </c>
      <c r="S143" s="226">
        <v>68</v>
      </c>
      <c r="T143" s="226">
        <v>69</v>
      </c>
      <c r="U143" s="226">
        <v>74</v>
      </c>
      <c r="V143" s="226"/>
    </row>
    <row r="144" spans="1:22" x14ac:dyDescent="0.25">
      <c r="A144">
        <v>64</v>
      </c>
      <c r="B144" t="s">
        <v>339</v>
      </c>
      <c r="C144">
        <v>480</v>
      </c>
      <c r="D144" t="s">
        <v>166</v>
      </c>
      <c r="E144">
        <f t="shared" si="7"/>
        <v>0</v>
      </c>
    </row>
    <row r="145" spans="1:29" x14ac:dyDescent="0.25">
      <c r="A145">
        <v>65</v>
      </c>
      <c r="B145" t="s">
        <v>339</v>
      </c>
      <c r="C145">
        <v>479</v>
      </c>
      <c r="D145" t="s">
        <v>167</v>
      </c>
      <c r="E145">
        <f t="shared" si="7"/>
        <v>0</v>
      </c>
    </row>
    <row r="146" spans="1:29" x14ac:dyDescent="0.25">
      <c r="A146">
        <v>66</v>
      </c>
      <c r="B146" t="s">
        <v>339</v>
      </c>
      <c r="C146">
        <v>478</v>
      </c>
      <c r="D146" t="s">
        <v>121</v>
      </c>
      <c r="E146">
        <f t="shared" si="7"/>
        <v>0</v>
      </c>
    </row>
    <row r="147" spans="1:29" x14ac:dyDescent="0.25">
      <c r="A147">
        <v>67</v>
      </c>
      <c r="B147" t="s">
        <v>339</v>
      </c>
      <c r="C147">
        <v>477</v>
      </c>
      <c r="D147" t="s">
        <v>168</v>
      </c>
      <c r="E147">
        <f t="shared" si="7"/>
        <v>0</v>
      </c>
    </row>
    <row r="148" spans="1:29" x14ac:dyDescent="0.25">
      <c r="A148">
        <v>68</v>
      </c>
      <c r="B148" t="s">
        <v>339</v>
      </c>
      <c r="C148">
        <v>476</v>
      </c>
      <c r="D148" t="s">
        <v>122</v>
      </c>
      <c r="E148">
        <f t="shared" si="7"/>
        <v>0</v>
      </c>
    </row>
    <row r="149" spans="1:29" x14ac:dyDescent="0.25">
      <c r="A149">
        <v>69</v>
      </c>
      <c r="B149" t="s">
        <v>339</v>
      </c>
      <c r="C149">
        <v>475</v>
      </c>
      <c r="D149" t="s">
        <v>192</v>
      </c>
      <c r="E149">
        <f t="shared" si="7"/>
        <v>0</v>
      </c>
    </row>
    <row r="150" spans="1:29" x14ac:dyDescent="0.25">
      <c r="A150">
        <v>74</v>
      </c>
      <c r="B150" t="s">
        <v>339</v>
      </c>
      <c r="C150">
        <v>470</v>
      </c>
      <c r="D150" t="s">
        <v>188</v>
      </c>
      <c r="E150">
        <f t="shared" si="7"/>
        <v>0</v>
      </c>
    </row>
    <row r="151" spans="1:29" x14ac:dyDescent="0.25">
      <c r="D151" t="s">
        <v>382</v>
      </c>
      <c r="E151" s="163">
        <v>9</v>
      </c>
    </row>
    <row r="152" spans="1:29" x14ac:dyDescent="0.25">
      <c r="D152" t="s">
        <v>387</v>
      </c>
      <c r="E152" s="163">
        <f>COUNTIF(E142:E150,"I")</f>
        <v>0</v>
      </c>
    </row>
    <row r="153" spans="1:29" x14ac:dyDescent="0.25">
      <c r="D153" t="s">
        <v>389</v>
      </c>
      <c r="E153" s="220">
        <f>1-E154</f>
        <v>1</v>
      </c>
    </row>
    <row r="154" spans="1:29" x14ac:dyDescent="0.25">
      <c r="D154" t="s">
        <v>388</v>
      </c>
      <c r="E154" s="220">
        <f>E152/E151</f>
        <v>0</v>
      </c>
    </row>
    <row r="156" spans="1:29" ht="17.25" x14ac:dyDescent="0.4">
      <c r="A156" t="s">
        <v>226</v>
      </c>
      <c r="B156" t="s">
        <v>348</v>
      </c>
      <c r="C156" t="s">
        <v>381</v>
      </c>
      <c r="D156" t="s">
        <v>194</v>
      </c>
      <c r="E156" t="s">
        <v>377</v>
      </c>
      <c r="F156" t="s">
        <v>369</v>
      </c>
      <c r="G156" t="s">
        <v>370</v>
      </c>
      <c r="H156" t="s">
        <v>371</v>
      </c>
      <c r="I156" t="s">
        <v>372</v>
      </c>
      <c r="J156" t="s">
        <v>373</v>
      </c>
      <c r="K156" t="s">
        <v>374</v>
      </c>
      <c r="L156" t="s">
        <v>375</v>
      </c>
      <c r="M156" t="s">
        <v>376</v>
      </c>
      <c r="N156" t="s">
        <v>378</v>
      </c>
      <c r="O156" t="s">
        <v>379</v>
      </c>
      <c r="P156" t="s">
        <v>380</v>
      </c>
      <c r="Q156" s="225" t="s">
        <v>410</v>
      </c>
    </row>
    <row r="157" spans="1:29" x14ac:dyDescent="0.25">
      <c r="A157">
        <v>17</v>
      </c>
      <c r="B157" t="s">
        <v>345</v>
      </c>
      <c r="C157">
        <v>527</v>
      </c>
      <c r="D157" t="s">
        <v>285</v>
      </c>
      <c r="E157">
        <f t="shared" ref="E157:E164" si="8">IFERROR((VLOOKUP(C157,DATA_LOG,3,0)),0)</f>
        <v>0</v>
      </c>
      <c r="S157" s="226">
        <v>17</v>
      </c>
      <c r="T157" s="226">
        <v>32</v>
      </c>
      <c r="U157" s="226">
        <v>33</v>
      </c>
      <c r="V157" s="226">
        <v>34</v>
      </c>
    </row>
    <row r="158" spans="1:29" x14ac:dyDescent="0.25">
      <c r="A158">
        <v>32</v>
      </c>
      <c r="B158" t="s">
        <v>345</v>
      </c>
      <c r="C158">
        <v>512</v>
      </c>
      <c r="D158" t="s">
        <v>148</v>
      </c>
      <c r="E158">
        <f t="shared" si="8"/>
        <v>0</v>
      </c>
      <c r="S158" s="226">
        <v>37</v>
      </c>
      <c r="T158" s="226">
        <v>71</v>
      </c>
      <c r="U158" s="226">
        <v>89</v>
      </c>
      <c r="V158" s="226">
        <v>90</v>
      </c>
      <c r="AA158" s="150">
        <v>92</v>
      </c>
      <c r="AB158" s="150">
        <v>155</v>
      </c>
      <c r="AC158" s="150">
        <v>132</v>
      </c>
    </row>
    <row r="159" spans="1:29" x14ac:dyDescent="0.25">
      <c r="A159">
        <v>33</v>
      </c>
      <c r="B159" t="s">
        <v>345</v>
      </c>
      <c r="C159">
        <v>511</v>
      </c>
      <c r="D159" t="s">
        <v>149</v>
      </c>
      <c r="E159">
        <f t="shared" si="8"/>
        <v>0</v>
      </c>
    </row>
    <row r="160" spans="1:29" x14ac:dyDescent="0.25">
      <c r="A160">
        <v>34</v>
      </c>
      <c r="B160" t="s">
        <v>345</v>
      </c>
      <c r="C160">
        <v>510</v>
      </c>
      <c r="D160" t="s">
        <v>107</v>
      </c>
      <c r="E160">
        <f t="shared" si="8"/>
        <v>0</v>
      </c>
    </row>
    <row r="161" spans="1:20" x14ac:dyDescent="0.25">
      <c r="A161">
        <v>37</v>
      </c>
      <c r="B161" t="s">
        <v>345</v>
      </c>
      <c r="C161">
        <v>507</v>
      </c>
      <c r="D161" t="s">
        <v>154</v>
      </c>
      <c r="E161">
        <f t="shared" si="8"/>
        <v>0</v>
      </c>
    </row>
    <row r="162" spans="1:20" x14ac:dyDescent="0.25">
      <c r="A162">
        <v>71</v>
      </c>
      <c r="B162" t="s">
        <v>345</v>
      </c>
      <c r="C162">
        <v>473</v>
      </c>
      <c r="D162" t="s">
        <v>190</v>
      </c>
      <c r="E162">
        <f t="shared" si="8"/>
        <v>0</v>
      </c>
    </row>
    <row r="163" spans="1:20" x14ac:dyDescent="0.25">
      <c r="A163">
        <v>89</v>
      </c>
      <c r="B163" t="s">
        <v>345</v>
      </c>
      <c r="C163">
        <v>455</v>
      </c>
      <c r="D163" t="s">
        <v>129</v>
      </c>
      <c r="E163">
        <f t="shared" si="8"/>
        <v>0</v>
      </c>
    </row>
    <row r="164" spans="1:20" x14ac:dyDescent="0.25">
      <c r="A164">
        <v>90</v>
      </c>
      <c r="B164" t="s">
        <v>345</v>
      </c>
      <c r="C164">
        <v>454</v>
      </c>
      <c r="D164" t="s">
        <v>179</v>
      </c>
      <c r="E164">
        <f t="shared" si="8"/>
        <v>0</v>
      </c>
    </row>
    <row r="165" spans="1:20" x14ac:dyDescent="0.25">
      <c r="D165" t="s">
        <v>382</v>
      </c>
      <c r="E165" s="163">
        <v>8</v>
      </c>
    </row>
    <row r="166" spans="1:20" x14ac:dyDescent="0.25">
      <c r="D166" t="s">
        <v>387</v>
      </c>
      <c r="E166" s="163">
        <f>COUNTIF(E156:E164,"I")</f>
        <v>0</v>
      </c>
    </row>
    <row r="167" spans="1:20" x14ac:dyDescent="0.25">
      <c r="D167" t="s">
        <v>389</v>
      </c>
      <c r="E167" s="220">
        <f>1-E168</f>
        <v>1</v>
      </c>
    </row>
    <row r="168" spans="1:20" x14ac:dyDescent="0.25">
      <c r="D168" t="s">
        <v>388</v>
      </c>
      <c r="E168" s="220">
        <f>E166/E165</f>
        <v>0</v>
      </c>
    </row>
    <row r="169" spans="1:20" ht="17.25" x14ac:dyDescent="0.4">
      <c r="A169" t="s">
        <v>226</v>
      </c>
      <c r="B169" t="s">
        <v>348</v>
      </c>
      <c r="C169" t="s">
        <v>381</v>
      </c>
      <c r="D169" t="s">
        <v>194</v>
      </c>
      <c r="E169" t="s">
        <v>377</v>
      </c>
      <c r="F169" t="s">
        <v>369</v>
      </c>
      <c r="G169" t="s">
        <v>370</v>
      </c>
      <c r="H169" t="s">
        <v>371</v>
      </c>
      <c r="I169" t="s">
        <v>372</v>
      </c>
      <c r="J169" t="s">
        <v>373</v>
      </c>
      <c r="K169" t="s">
        <v>374</v>
      </c>
      <c r="L169" t="s">
        <v>375</v>
      </c>
      <c r="M169" t="s">
        <v>376</v>
      </c>
      <c r="N169" t="s">
        <v>378</v>
      </c>
      <c r="O169" t="s">
        <v>379</v>
      </c>
      <c r="P169" t="s">
        <v>380</v>
      </c>
      <c r="Q169" s="225" t="s">
        <v>413</v>
      </c>
    </row>
    <row r="170" spans="1:20" x14ac:dyDescent="0.25">
      <c r="A170">
        <v>35</v>
      </c>
      <c r="B170" t="s">
        <v>340</v>
      </c>
      <c r="C170">
        <v>509</v>
      </c>
      <c r="D170" t="s">
        <v>150</v>
      </c>
      <c r="E170">
        <f>IFERROR((VLOOKUP(C170,DATA_LOG,3,0)),0)</f>
        <v>0</v>
      </c>
      <c r="S170" s="226">
        <v>35</v>
      </c>
      <c r="T170" s="226">
        <v>36</v>
      </c>
    </row>
    <row r="171" spans="1:20" x14ac:dyDescent="0.25">
      <c r="A171">
        <v>36</v>
      </c>
      <c r="B171" t="s">
        <v>340</v>
      </c>
      <c r="C171">
        <v>508</v>
      </c>
      <c r="D171" t="s">
        <v>151</v>
      </c>
      <c r="E171">
        <f>IFERROR((VLOOKUP(C171,DATA_LOG,3,0)),0)</f>
        <v>0</v>
      </c>
      <c r="S171" s="226">
        <v>40</v>
      </c>
      <c r="T171" s="226"/>
    </row>
    <row r="172" spans="1:20" x14ac:dyDescent="0.25">
      <c r="A172">
        <v>40</v>
      </c>
      <c r="B172" t="s">
        <v>340</v>
      </c>
      <c r="C172">
        <v>504</v>
      </c>
      <c r="D172" t="s">
        <v>152</v>
      </c>
      <c r="E172" s="228">
        <f>IFERROR((VLOOKUP(C172,DATA_LOG,3,0)),0)</f>
        <v>0</v>
      </c>
    </row>
    <row r="173" spans="1:20" x14ac:dyDescent="0.25">
      <c r="D173" t="s">
        <v>382</v>
      </c>
      <c r="E173" s="163">
        <v>3</v>
      </c>
    </row>
    <row r="174" spans="1:20" x14ac:dyDescent="0.25">
      <c r="D174" t="s">
        <v>387</v>
      </c>
      <c r="E174" s="163">
        <f>COUNTIF(E170:E172,"I")</f>
        <v>0</v>
      </c>
    </row>
    <row r="175" spans="1:20" x14ac:dyDescent="0.25">
      <c r="D175" t="s">
        <v>389</v>
      </c>
      <c r="E175" s="220">
        <f>1-E176</f>
        <v>1</v>
      </c>
    </row>
    <row r="176" spans="1:20" x14ac:dyDescent="0.25">
      <c r="D176" t="s">
        <v>388</v>
      </c>
      <c r="E176" s="220">
        <f>E174/E173</f>
        <v>0</v>
      </c>
    </row>
    <row r="178" spans="1:16" x14ac:dyDescent="0.25">
      <c r="A178" t="s">
        <v>226</v>
      </c>
      <c r="B178" t="s">
        <v>348</v>
      </c>
      <c r="C178" t="s">
        <v>381</v>
      </c>
      <c r="D178" t="s">
        <v>194</v>
      </c>
      <c r="E178" t="s">
        <v>377</v>
      </c>
      <c r="F178" t="s">
        <v>369</v>
      </c>
      <c r="G178" t="s">
        <v>370</v>
      </c>
      <c r="H178" t="s">
        <v>371</v>
      </c>
      <c r="I178" t="s">
        <v>372</v>
      </c>
      <c r="J178" t="s">
        <v>373</v>
      </c>
      <c r="K178" t="s">
        <v>374</v>
      </c>
      <c r="L178" t="s">
        <v>375</v>
      </c>
      <c r="M178" t="s">
        <v>376</v>
      </c>
      <c r="N178" t="s">
        <v>378</v>
      </c>
      <c r="O178" t="s">
        <v>379</v>
      </c>
      <c r="P178" t="s">
        <v>380</v>
      </c>
    </row>
    <row r="179" spans="1:16" x14ac:dyDescent="0.25">
      <c r="A179">
        <v>110</v>
      </c>
      <c r="B179" t="s">
        <v>343</v>
      </c>
      <c r="C179">
        <v>545</v>
      </c>
      <c r="D179" t="s">
        <v>429</v>
      </c>
      <c r="E179">
        <f t="shared" ref="E179:E185" si="9">IFERROR((VLOOKUP(C179,DATA_LOG,3,0)),0)</f>
        <v>0</v>
      </c>
    </row>
    <row r="180" spans="1:16" x14ac:dyDescent="0.25">
      <c r="A180">
        <v>83</v>
      </c>
      <c r="B180" t="s">
        <v>343</v>
      </c>
      <c r="C180">
        <v>461</v>
      </c>
      <c r="D180" t="s">
        <v>140</v>
      </c>
      <c r="E180">
        <f t="shared" si="9"/>
        <v>0</v>
      </c>
    </row>
    <row r="181" spans="1:16" x14ac:dyDescent="0.25">
      <c r="A181">
        <v>80</v>
      </c>
      <c r="B181" t="s">
        <v>343</v>
      </c>
      <c r="C181">
        <v>464</v>
      </c>
      <c r="D181" t="s">
        <v>101</v>
      </c>
      <c r="E181">
        <f t="shared" si="9"/>
        <v>0</v>
      </c>
    </row>
    <row r="182" spans="1:16" x14ac:dyDescent="0.25">
      <c r="A182">
        <v>16</v>
      </c>
      <c r="B182" t="s">
        <v>343</v>
      </c>
      <c r="C182">
        <v>528</v>
      </c>
      <c r="D182" t="s">
        <v>142</v>
      </c>
      <c r="E182">
        <f t="shared" si="9"/>
        <v>0</v>
      </c>
    </row>
    <row r="183" spans="1:16" x14ac:dyDescent="0.25">
      <c r="A183">
        <v>5</v>
      </c>
      <c r="B183" t="s">
        <v>343</v>
      </c>
      <c r="C183">
        <v>539</v>
      </c>
      <c r="D183" t="s">
        <v>99</v>
      </c>
      <c r="E183">
        <f t="shared" si="9"/>
        <v>0</v>
      </c>
    </row>
    <row r="184" spans="1:16" x14ac:dyDescent="0.25">
      <c r="A184">
        <v>15</v>
      </c>
      <c r="B184" t="s">
        <v>343</v>
      </c>
      <c r="C184">
        <v>529</v>
      </c>
      <c r="D184" t="s">
        <v>141</v>
      </c>
      <c r="E184">
        <f t="shared" si="9"/>
        <v>0</v>
      </c>
    </row>
    <row r="185" spans="1:16" x14ac:dyDescent="0.25">
      <c r="A185">
        <v>9</v>
      </c>
      <c r="B185" t="s">
        <v>343</v>
      </c>
      <c r="C185">
        <v>535</v>
      </c>
      <c r="D185" t="s">
        <v>427</v>
      </c>
      <c r="E185">
        <f t="shared" si="9"/>
        <v>0</v>
      </c>
    </row>
  </sheetData>
  <conditionalFormatting sqref="R4:S5">
    <cfRule type="expression" dxfId="41" priority="28">
      <formula>VLOOKUP(R4,$A$2:$E$5,5,0) = 0</formula>
    </cfRule>
    <cfRule type="expression" dxfId="40" priority="30">
      <formula>VLOOKUP(R4,$A$2:$E$5,5,0)="I"</formula>
    </cfRule>
  </conditionalFormatting>
  <conditionalFormatting sqref="T14:U14">
    <cfRule type="expression" dxfId="39" priority="29">
      <formula>T14=123</formula>
    </cfRule>
  </conditionalFormatting>
  <conditionalFormatting sqref="R11:U12">
    <cfRule type="expression" dxfId="38" priority="25">
      <formula>VLOOKUP(R11,$A$11:$E$18,5,0)=0</formula>
    </cfRule>
    <cfRule type="expression" dxfId="37" priority="26">
      <formula>VLOOKUP(R11,$A$11:$E$18,5,0)="I"</formula>
    </cfRule>
  </conditionalFormatting>
  <conditionalFormatting sqref="R24:W28">
    <cfRule type="expression" dxfId="36" priority="23">
      <formula>VLOOKUP(R24,$A$24:$E$48,5,0)="I"</formula>
    </cfRule>
    <cfRule type="expression" dxfId="35" priority="24">
      <formula>VLOOKUP(R24,$A$24:$E$48,5,0)=0</formula>
    </cfRule>
  </conditionalFormatting>
  <conditionalFormatting sqref="S54:W55">
    <cfRule type="expression" dxfId="34" priority="21">
      <formula>VLOOKUP(S54,$A$54:$E$62,5,0)="I"</formula>
    </cfRule>
    <cfRule type="expression" dxfId="33" priority="22">
      <formula>VLOOKUP(S54,$A$54:$E$62,5,0)=0</formula>
    </cfRule>
  </conditionalFormatting>
  <conditionalFormatting sqref="S69:T70">
    <cfRule type="expression" dxfId="32" priority="18">
      <formula>VLOOKUP(S69,$A$69:$E$77,5,0)="I"</formula>
    </cfRule>
    <cfRule type="expression" dxfId="31" priority="19">
      <formula>VLOOKUP(S69,$A$69:$E$77,5,0)=0</formula>
    </cfRule>
  </conditionalFormatting>
  <conditionalFormatting sqref="S93:V94">
    <cfRule type="expression" dxfId="30" priority="16">
      <formula>VLOOKUP(S93,$A$93:$E$99,5,0)=0</formula>
    </cfRule>
    <cfRule type="expression" dxfId="29" priority="17">
      <formula>VLOOKUP(S93,$A$93:$E$100,5,0)="I"</formula>
    </cfRule>
  </conditionalFormatting>
  <conditionalFormatting sqref="S106:V107">
    <cfRule type="expression" dxfId="28" priority="14">
      <formula>VLOOKUP(S106,$A$106:$E$112,5,0)=0</formula>
    </cfRule>
    <cfRule type="expression" dxfId="27" priority="15">
      <formula>VLOOKUP(S106,$A$106:$E$112,5,0)="I"</formula>
    </cfRule>
  </conditionalFormatting>
  <conditionalFormatting sqref="S119:T120">
    <cfRule type="expression" dxfId="26" priority="13">
      <formula>VLOOKUP(S119,$A$119:$E$122,5,0)="I"</formula>
    </cfRule>
    <cfRule type="expression" dxfId="25" priority="12">
      <formula>VLOOKUP(S119,$A$119:$E$122,5,0)=0</formula>
    </cfRule>
  </conditionalFormatting>
  <conditionalFormatting sqref="S129:V130">
    <cfRule type="expression" dxfId="24" priority="10">
      <formula>VLOOKUP(S129,$A$129:$E$139,5,0)="I"</formula>
    </cfRule>
    <cfRule type="expression" dxfId="23" priority="9">
      <formula>VLOOKUP(S129,$A$129:$E$139,5,0)=0</formula>
    </cfRule>
  </conditionalFormatting>
  <conditionalFormatting sqref="R142:V143">
    <cfRule type="expression" dxfId="22" priority="8">
      <formula>VLOOKUP(R142,$A$142:$E$150,5,0)="I"</formula>
    </cfRule>
    <cfRule type="expression" dxfId="21" priority="7">
      <formula>VLOOKUP(R142,$A$142:$E$150,5,0)=0</formula>
    </cfRule>
  </conditionalFormatting>
  <conditionalFormatting sqref="S79:V80">
    <cfRule type="expression" dxfId="20" priority="6">
      <formula>VLOOKUP(S79,$A$79:$E$86,5,0)=0</formula>
    </cfRule>
    <cfRule type="expression" dxfId="19" priority="5">
      <formula>VLOOKUP(S79,$A$79:$E$86,5,0)="I"</formula>
    </cfRule>
  </conditionalFormatting>
  <conditionalFormatting sqref="S157:V158">
    <cfRule type="expression" dxfId="18" priority="4">
      <formula>VLOOKUP(S157,$A$157:$E$164,5,0)=0</formula>
    </cfRule>
    <cfRule type="expression" dxfId="17" priority="3">
      <formula>VLOOKUP(S157,$A$157:$E$164,5,0)="I"</formula>
    </cfRule>
  </conditionalFormatting>
  <conditionalFormatting sqref="S170:T171">
    <cfRule type="expression" dxfId="16" priority="2">
      <formula>VLOOKUP(S170,$A$170:$E$172,5,0) = 0</formula>
    </cfRule>
    <cfRule type="expression" dxfId="15" priority="1">
      <formula>VLOOKUP(S170,$A$170:$E$172,5,0) = "I"</formula>
    </cfRule>
  </conditionalFormatting>
  <pageMargins left="0.7" right="0.7" top="0.75" bottom="0.75" header="0.3" footer="0.3"/>
  <pageSetup orientation="portrait" horizontalDpi="200" verticalDpi="200"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14"/>
  <sheetViews>
    <sheetView topLeftCell="A93" workbookViewId="0">
      <selection activeCell="C115" sqref="C115"/>
    </sheetView>
  </sheetViews>
  <sheetFormatPr defaultRowHeight="15" x14ac:dyDescent="0.25"/>
  <cols>
    <col min="1" max="1" width="4.85546875" customWidth="1"/>
    <col min="2" max="2" width="11.42578125" customWidth="1"/>
    <col min="3" max="3" width="23" customWidth="1"/>
    <col min="4" max="4" width="10.7109375" customWidth="1"/>
    <col min="5" max="5" width="10.42578125" customWidth="1"/>
    <col min="6" max="6" width="28.28515625" customWidth="1"/>
    <col min="7" max="7" width="12.5703125" customWidth="1"/>
    <col min="8" max="8" width="27.7109375" style="102" customWidth="1"/>
    <col min="9" max="9" width="26.85546875" style="102" customWidth="1"/>
    <col min="11" max="16384" width="9.140625" style="102"/>
  </cols>
  <sheetData>
    <row r="1" spans="1:9" x14ac:dyDescent="0.25">
      <c r="A1" s="200" t="s">
        <v>327</v>
      </c>
      <c r="B1" s="111"/>
      <c r="C1" s="111"/>
      <c r="D1" s="111"/>
      <c r="E1" s="104"/>
      <c r="F1" s="104"/>
      <c r="G1" s="104"/>
      <c r="H1" s="111"/>
      <c r="I1" s="111"/>
    </row>
    <row r="2" spans="1:9" x14ac:dyDescent="0.25">
      <c r="H2" s="202"/>
    </row>
    <row r="3" spans="1:9" x14ac:dyDescent="0.25">
      <c r="H3" s="203"/>
    </row>
    <row r="4" spans="1:9" x14ac:dyDescent="0.25">
      <c r="A4" s="105" t="s">
        <v>95</v>
      </c>
      <c r="B4" s="105" t="s">
        <v>330</v>
      </c>
      <c r="C4" s="105" t="s">
        <v>328</v>
      </c>
      <c r="D4" s="238" t="s">
        <v>329</v>
      </c>
      <c r="E4" s="238"/>
      <c r="F4" s="105" t="s">
        <v>224</v>
      </c>
      <c r="G4" s="147" t="s">
        <v>349</v>
      </c>
      <c r="H4" s="204" t="s">
        <v>346</v>
      </c>
      <c r="I4" s="105" t="s">
        <v>331</v>
      </c>
    </row>
    <row r="5" spans="1:9" x14ac:dyDescent="0.25">
      <c r="A5" s="112">
        <v>1</v>
      </c>
      <c r="B5" s="112">
        <v>543</v>
      </c>
      <c r="C5" s="107" t="s">
        <v>96</v>
      </c>
      <c r="D5" s="115">
        <v>21833</v>
      </c>
      <c r="E5" s="116"/>
      <c r="F5" s="140" t="s">
        <v>206</v>
      </c>
      <c r="G5" s="140" t="s">
        <v>353</v>
      </c>
      <c r="H5" s="205" t="s">
        <v>206</v>
      </c>
      <c r="I5" s="141" t="s">
        <v>332</v>
      </c>
    </row>
    <row r="6" spans="1:9" x14ac:dyDescent="0.25">
      <c r="A6" s="112">
        <v>2</v>
      </c>
      <c r="B6" s="112">
        <v>542</v>
      </c>
      <c r="C6" s="107" t="s">
        <v>97</v>
      </c>
      <c r="D6" s="117" t="s">
        <v>0</v>
      </c>
      <c r="E6" s="118"/>
      <c r="F6" s="140" t="s">
        <v>206</v>
      </c>
      <c r="G6" s="140"/>
      <c r="H6" s="205" t="s">
        <v>207</v>
      </c>
      <c r="I6" s="141" t="s">
        <v>343</v>
      </c>
    </row>
    <row r="7" spans="1:9" x14ac:dyDescent="0.25">
      <c r="A7" s="112">
        <v>3</v>
      </c>
      <c r="B7" s="112">
        <v>541</v>
      </c>
      <c r="C7" s="107" t="s">
        <v>98</v>
      </c>
      <c r="D7" s="116" t="s">
        <v>1</v>
      </c>
      <c r="E7" s="118"/>
      <c r="F7" s="140" t="s">
        <v>206</v>
      </c>
      <c r="G7" s="140"/>
      <c r="H7" s="205" t="s">
        <v>208</v>
      </c>
      <c r="I7" s="141" t="s">
        <v>334</v>
      </c>
    </row>
    <row r="8" spans="1:9" x14ac:dyDescent="0.25">
      <c r="A8" s="112">
        <v>4</v>
      </c>
      <c r="B8" s="112">
        <v>540</v>
      </c>
      <c r="C8" s="107" t="s">
        <v>138</v>
      </c>
      <c r="D8" s="119" t="s">
        <v>2</v>
      </c>
      <c r="E8" s="120"/>
      <c r="F8" s="140" t="s">
        <v>206</v>
      </c>
      <c r="G8" s="140"/>
      <c r="H8" s="205" t="s">
        <v>209</v>
      </c>
      <c r="I8" s="141" t="s">
        <v>342</v>
      </c>
    </row>
    <row r="9" spans="1:9" x14ac:dyDescent="0.25">
      <c r="A9" s="112">
        <v>5</v>
      </c>
      <c r="B9" s="112">
        <v>539</v>
      </c>
      <c r="C9" s="107" t="s">
        <v>99</v>
      </c>
      <c r="D9" s="121" t="s">
        <v>3</v>
      </c>
      <c r="E9" s="118"/>
      <c r="F9" s="140" t="s">
        <v>207</v>
      </c>
      <c r="G9" s="140"/>
      <c r="H9" s="205" t="s">
        <v>210</v>
      </c>
      <c r="I9" s="141" t="s">
        <v>338</v>
      </c>
    </row>
    <row r="10" spans="1:9" x14ac:dyDescent="0.25">
      <c r="A10" s="112">
        <v>6</v>
      </c>
      <c r="B10" s="112">
        <v>538</v>
      </c>
      <c r="C10" s="109" t="s">
        <v>291</v>
      </c>
      <c r="D10" s="121"/>
      <c r="E10" s="118"/>
      <c r="F10" s="140" t="s">
        <v>216</v>
      </c>
      <c r="G10" s="140"/>
      <c r="H10" s="205" t="s">
        <v>211</v>
      </c>
      <c r="I10" s="141" t="s">
        <v>339</v>
      </c>
    </row>
    <row r="11" spans="1:9" x14ac:dyDescent="0.25">
      <c r="A11" s="112">
        <v>7</v>
      </c>
      <c r="B11" s="112">
        <v>537</v>
      </c>
      <c r="C11" s="107" t="s">
        <v>292</v>
      </c>
      <c r="D11" s="116"/>
      <c r="E11" s="121">
        <v>34248</v>
      </c>
      <c r="F11" s="140" t="s">
        <v>217</v>
      </c>
      <c r="G11" s="140"/>
      <c r="H11" s="205" t="s">
        <v>212</v>
      </c>
      <c r="I11" s="141" t="s">
        <v>336</v>
      </c>
    </row>
    <row r="12" spans="1:9" x14ac:dyDescent="0.25">
      <c r="A12" s="112">
        <v>8</v>
      </c>
      <c r="B12" s="112">
        <v>536</v>
      </c>
      <c r="C12" s="107" t="s">
        <v>161</v>
      </c>
      <c r="D12" s="112"/>
      <c r="E12" s="116" t="s">
        <v>43</v>
      </c>
      <c r="F12" s="140" t="s">
        <v>208</v>
      </c>
      <c r="G12" s="140"/>
      <c r="H12" s="205" t="s">
        <v>213</v>
      </c>
      <c r="I12" s="141" t="s">
        <v>344</v>
      </c>
    </row>
    <row r="13" spans="1:9" x14ac:dyDescent="0.25">
      <c r="A13" s="112">
        <v>9</v>
      </c>
      <c r="B13" s="112">
        <v>535</v>
      </c>
      <c r="C13" s="107" t="s">
        <v>427</v>
      </c>
      <c r="D13" s="121"/>
      <c r="E13" s="118" t="s">
        <v>428</v>
      </c>
      <c r="F13" s="140" t="s">
        <v>214</v>
      </c>
      <c r="G13" s="140"/>
      <c r="H13" s="205" t="s">
        <v>214</v>
      </c>
      <c r="I13" s="141" t="s">
        <v>345</v>
      </c>
    </row>
    <row r="14" spans="1:9" x14ac:dyDescent="0.25">
      <c r="A14" s="112">
        <v>10</v>
      </c>
      <c r="B14" s="112">
        <v>534</v>
      </c>
      <c r="C14" s="2" t="s">
        <v>184</v>
      </c>
      <c r="D14" s="122"/>
      <c r="E14" s="123" t="s">
        <v>66</v>
      </c>
      <c r="F14" s="140" t="s">
        <v>209</v>
      </c>
      <c r="G14" s="140"/>
      <c r="H14" s="205" t="s">
        <v>215</v>
      </c>
      <c r="I14" s="142" t="s">
        <v>340</v>
      </c>
    </row>
    <row r="15" spans="1:9" x14ac:dyDescent="0.25">
      <c r="A15" s="112">
        <v>11</v>
      </c>
      <c r="B15" s="112">
        <v>533</v>
      </c>
      <c r="C15" s="2" t="s">
        <v>310</v>
      </c>
      <c r="D15" s="122"/>
      <c r="E15" s="124">
        <v>33247</v>
      </c>
      <c r="F15" s="140" t="s">
        <v>209</v>
      </c>
      <c r="G15" s="140"/>
      <c r="H15" s="205" t="s">
        <v>216</v>
      </c>
      <c r="I15" s="143" t="s">
        <v>337</v>
      </c>
    </row>
    <row r="16" spans="1:9" x14ac:dyDescent="0.25">
      <c r="A16" s="112">
        <v>12</v>
      </c>
      <c r="B16" s="112">
        <v>532</v>
      </c>
      <c r="C16" s="107" t="s">
        <v>300</v>
      </c>
      <c r="D16" s="112"/>
      <c r="E16" s="121">
        <v>32116</v>
      </c>
      <c r="F16" s="140" t="s">
        <v>219</v>
      </c>
      <c r="G16" s="140"/>
      <c r="H16" s="205" t="s">
        <v>217</v>
      </c>
      <c r="I16" s="141" t="s">
        <v>333</v>
      </c>
    </row>
    <row r="17" spans="1:9" x14ac:dyDescent="0.25">
      <c r="A17" s="113">
        <v>13</v>
      </c>
      <c r="B17" s="113">
        <v>531</v>
      </c>
      <c r="C17" s="107" t="s">
        <v>301</v>
      </c>
      <c r="D17" s="125">
        <v>32237</v>
      </c>
      <c r="E17" s="126"/>
      <c r="F17" s="140" t="s">
        <v>218</v>
      </c>
      <c r="G17" s="140"/>
      <c r="H17" s="205" t="s">
        <v>218</v>
      </c>
      <c r="I17" s="141" t="s">
        <v>335</v>
      </c>
    </row>
    <row r="18" spans="1:9" x14ac:dyDescent="0.25">
      <c r="A18" s="113">
        <v>14</v>
      </c>
      <c r="B18" s="113">
        <v>530</v>
      </c>
      <c r="C18" s="107" t="s">
        <v>311</v>
      </c>
      <c r="D18" s="126"/>
      <c r="E18" s="126">
        <v>1991</v>
      </c>
      <c r="F18" s="140" t="s">
        <v>219</v>
      </c>
      <c r="G18" s="140" t="s">
        <v>350</v>
      </c>
      <c r="H18" s="205" t="s">
        <v>219</v>
      </c>
      <c r="I18" s="141" t="s">
        <v>341</v>
      </c>
    </row>
    <row r="19" spans="1:9" x14ac:dyDescent="0.25">
      <c r="A19" s="112">
        <v>15</v>
      </c>
      <c r="B19" s="112">
        <v>529</v>
      </c>
      <c r="C19" s="107" t="s">
        <v>141</v>
      </c>
      <c r="D19" s="112"/>
      <c r="E19" s="127" t="s">
        <v>6</v>
      </c>
      <c r="F19" s="140" t="s">
        <v>207</v>
      </c>
      <c r="G19" s="140"/>
      <c r="H19" s="206" t="s">
        <v>220</v>
      </c>
      <c r="I19" s="139" t="s">
        <v>347</v>
      </c>
    </row>
    <row r="20" spans="1:9" x14ac:dyDescent="0.25">
      <c r="A20" s="112">
        <v>16</v>
      </c>
      <c r="B20" s="112">
        <v>528</v>
      </c>
      <c r="C20" s="107" t="s">
        <v>142</v>
      </c>
      <c r="D20" s="115"/>
      <c r="E20" s="121" t="s">
        <v>7</v>
      </c>
      <c r="F20" s="140" t="s">
        <v>207</v>
      </c>
      <c r="G20" s="140"/>
      <c r="H20" s="103"/>
      <c r="I20"/>
    </row>
    <row r="21" spans="1:9" x14ac:dyDescent="0.25">
      <c r="A21" s="112">
        <v>17</v>
      </c>
      <c r="B21" s="112">
        <v>527</v>
      </c>
      <c r="C21" s="109" t="s">
        <v>285</v>
      </c>
      <c r="D21" s="126"/>
      <c r="E21" s="126"/>
      <c r="F21" s="140" t="s">
        <v>214</v>
      </c>
      <c r="G21" s="140"/>
      <c r="H21" s="103"/>
      <c r="I21"/>
    </row>
    <row r="22" spans="1:9" x14ac:dyDescent="0.25">
      <c r="A22" s="112">
        <v>18</v>
      </c>
      <c r="B22" s="112">
        <v>526</v>
      </c>
      <c r="C22" s="107" t="s">
        <v>143</v>
      </c>
      <c r="D22" s="112"/>
      <c r="E22" s="117" t="s">
        <v>9</v>
      </c>
      <c r="F22" s="140" t="s">
        <v>210</v>
      </c>
      <c r="G22" s="140"/>
      <c r="H22" s="103"/>
      <c r="I22"/>
    </row>
    <row r="23" spans="1:9" x14ac:dyDescent="0.25">
      <c r="A23" s="112">
        <v>19</v>
      </c>
      <c r="B23" s="112">
        <v>525</v>
      </c>
      <c r="C23" s="107" t="s">
        <v>309</v>
      </c>
      <c r="D23" s="112">
        <v>33970</v>
      </c>
      <c r="E23" s="117"/>
      <c r="F23" s="140" t="s">
        <v>216</v>
      </c>
      <c r="G23" s="140"/>
      <c r="H23" s="103"/>
      <c r="I23"/>
    </row>
    <row r="24" spans="1:9" x14ac:dyDescent="0.25">
      <c r="A24" s="112">
        <v>20</v>
      </c>
      <c r="B24" s="112">
        <v>524</v>
      </c>
      <c r="C24" s="107" t="s">
        <v>189</v>
      </c>
      <c r="D24" s="112"/>
      <c r="E24" s="121" t="s">
        <v>59</v>
      </c>
      <c r="F24" s="140" t="s">
        <v>211</v>
      </c>
      <c r="G24" s="140"/>
      <c r="H24" s="103"/>
      <c r="I24"/>
    </row>
    <row r="25" spans="1:9" x14ac:dyDescent="0.25">
      <c r="A25" s="112">
        <v>21</v>
      </c>
      <c r="B25" s="112">
        <v>523</v>
      </c>
      <c r="C25" s="107" t="s">
        <v>102</v>
      </c>
      <c r="D25" s="112"/>
      <c r="E25" s="121" t="s">
        <v>11</v>
      </c>
      <c r="F25" s="140" t="s">
        <v>212</v>
      </c>
      <c r="G25" s="140"/>
      <c r="H25" s="103"/>
      <c r="I25"/>
    </row>
    <row r="26" spans="1:9" x14ac:dyDescent="0.25">
      <c r="A26" s="112">
        <v>22</v>
      </c>
      <c r="B26" s="112">
        <v>522</v>
      </c>
      <c r="C26" s="107" t="s">
        <v>144</v>
      </c>
      <c r="D26" s="112"/>
      <c r="E26" s="121" t="s">
        <v>12</v>
      </c>
      <c r="F26" s="140" t="s">
        <v>210</v>
      </c>
      <c r="G26" s="140"/>
      <c r="H26" s="103"/>
      <c r="I26"/>
    </row>
    <row r="27" spans="1:9" x14ac:dyDescent="0.25">
      <c r="A27" s="112">
        <v>23</v>
      </c>
      <c r="B27" s="112">
        <v>521</v>
      </c>
      <c r="C27" s="107" t="s">
        <v>145</v>
      </c>
      <c r="D27" s="112"/>
      <c r="E27" s="116" t="s">
        <v>13</v>
      </c>
      <c r="F27" s="140" t="s">
        <v>210</v>
      </c>
      <c r="G27" s="140"/>
      <c r="H27" s="103"/>
      <c r="I27"/>
    </row>
    <row r="28" spans="1:9" x14ac:dyDescent="0.25">
      <c r="A28" s="112">
        <v>24</v>
      </c>
      <c r="B28" s="112">
        <v>520</v>
      </c>
      <c r="C28" s="2" t="s">
        <v>178</v>
      </c>
      <c r="D28" s="128"/>
      <c r="E28" s="124" t="s">
        <v>77</v>
      </c>
      <c r="F28" s="140" t="s">
        <v>208</v>
      </c>
      <c r="G28" s="140"/>
      <c r="H28" s="103"/>
      <c r="I28"/>
    </row>
    <row r="29" spans="1:9" x14ac:dyDescent="0.25">
      <c r="A29" s="112">
        <v>25</v>
      </c>
      <c r="B29" s="112">
        <v>519</v>
      </c>
      <c r="C29" s="107" t="s">
        <v>153</v>
      </c>
      <c r="D29" s="121" t="s">
        <v>28</v>
      </c>
      <c r="E29" s="118"/>
      <c r="F29" s="140" t="s">
        <v>212</v>
      </c>
      <c r="G29" s="140"/>
      <c r="H29" s="103"/>
      <c r="I29"/>
    </row>
    <row r="30" spans="1:9" x14ac:dyDescent="0.25">
      <c r="A30" s="112">
        <v>26</v>
      </c>
      <c r="B30" s="112">
        <v>518</v>
      </c>
      <c r="C30" s="107" t="s">
        <v>105</v>
      </c>
      <c r="D30" s="116"/>
      <c r="E30" s="117" t="s">
        <v>16</v>
      </c>
      <c r="F30" s="140" t="s">
        <v>213</v>
      </c>
      <c r="G30" s="140"/>
      <c r="H30" s="103"/>
      <c r="I30"/>
    </row>
    <row r="31" spans="1:9" x14ac:dyDescent="0.25">
      <c r="A31" s="112">
        <v>27</v>
      </c>
      <c r="B31" s="112">
        <v>517</v>
      </c>
      <c r="C31" s="107" t="s">
        <v>146</v>
      </c>
      <c r="D31" s="112"/>
      <c r="E31" s="116" t="s">
        <v>17</v>
      </c>
      <c r="F31" s="140" t="s">
        <v>213</v>
      </c>
      <c r="G31" s="140"/>
      <c r="H31" s="103"/>
      <c r="I31"/>
    </row>
    <row r="32" spans="1:9" x14ac:dyDescent="0.25">
      <c r="A32" s="112">
        <v>28</v>
      </c>
      <c r="B32" s="112">
        <v>516</v>
      </c>
      <c r="C32" s="107" t="s">
        <v>106</v>
      </c>
      <c r="D32" s="119" t="s">
        <v>18</v>
      </c>
      <c r="E32" s="121"/>
      <c r="F32" s="140" t="s">
        <v>213</v>
      </c>
      <c r="G32" s="140"/>
      <c r="H32" s="103"/>
      <c r="I32"/>
    </row>
    <row r="33" spans="1:11" x14ac:dyDescent="0.25">
      <c r="A33" s="112">
        <v>29</v>
      </c>
      <c r="B33" s="112">
        <v>515</v>
      </c>
      <c r="C33" s="107" t="s">
        <v>147</v>
      </c>
      <c r="D33" s="112"/>
      <c r="E33" s="120" t="s">
        <v>19</v>
      </c>
      <c r="F33" s="140" t="s">
        <v>213</v>
      </c>
      <c r="G33" s="140"/>
      <c r="H33" s="103"/>
      <c r="I33"/>
    </row>
    <row r="34" spans="1:11" x14ac:dyDescent="0.25">
      <c r="A34" s="112">
        <v>30</v>
      </c>
      <c r="B34" s="112">
        <v>514</v>
      </c>
      <c r="C34" s="2" t="s">
        <v>124</v>
      </c>
      <c r="D34" s="129"/>
      <c r="E34" s="123" t="s">
        <v>63</v>
      </c>
      <c r="F34" s="140" t="s">
        <v>209</v>
      </c>
      <c r="G34" s="140"/>
      <c r="H34" s="103"/>
      <c r="I34"/>
    </row>
    <row r="35" spans="1:11" x14ac:dyDescent="0.25">
      <c r="A35" s="112">
        <v>31</v>
      </c>
      <c r="B35" s="112">
        <v>513</v>
      </c>
      <c r="C35" s="2" t="s">
        <v>134</v>
      </c>
      <c r="D35" s="129"/>
      <c r="E35" s="124" t="s">
        <v>83</v>
      </c>
      <c r="F35" s="140" t="s">
        <v>208</v>
      </c>
      <c r="G35" s="140"/>
      <c r="H35" s="103"/>
      <c r="I35"/>
    </row>
    <row r="36" spans="1:11" x14ac:dyDescent="0.25">
      <c r="A36" s="112">
        <v>32</v>
      </c>
      <c r="B36" s="112">
        <v>512</v>
      </c>
      <c r="C36" s="107" t="s">
        <v>148</v>
      </c>
      <c r="D36" s="121" t="s">
        <v>21</v>
      </c>
      <c r="E36" s="118"/>
      <c r="F36" s="140" t="s">
        <v>214</v>
      </c>
      <c r="G36" s="140"/>
      <c r="H36" s="103"/>
      <c r="I36"/>
    </row>
    <row r="37" spans="1:11" x14ac:dyDescent="0.25">
      <c r="A37" s="112">
        <v>33</v>
      </c>
      <c r="B37" s="112">
        <v>511</v>
      </c>
      <c r="C37" s="107" t="s">
        <v>149</v>
      </c>
      <c r="D37" s="121" t="s">
        <v>22</v>
      </c>
      <c r="E37" s="118"/>
      <c r="F37" s="140" t="s">
        <v>214</v>
      </c>
      <c r="G37" s="140"/>
      <c r="H37" s="103"/>
      <c r="I37"/>
    </row>
    <row r="38" spans="1:11" x14ac:dyDescent="0.25">
      <c r="A38" s="112">
        <v>34</v>
      </c>
      <c r="B38" s="112">
        <v>510</v>
      </c>
      <c r="C38" s="107" t="s">
        <v>107</v>
      </c>
      <c r="D38" s="121" t="s">
        <v>23</v>
      </c>
      <c r="E38" s="121"/>
      <c r="F38" s="140" t="s">
        <v>214</v>
      </c>
      <c r="G38" s="140"/>
      <c r="H38" s="103"/>
      <c r="I38"/>
    </row>
    <row r="39" spans="1:11" x14ac:dyDescent="0.25">
      <c r="A39" s="112">
        <v>35</v>
      </c>
      <c r="B39" s="112">
        <v>509</v>
      </c>
      <c r="C39" s="107" t="s">
        <v>150</v>
      </c>
      <c r="D39" s="120" t="s">
        <v>24</v>
      </c>
      <c r="E39" s="121"/>
      <c r="F39" s="140" t="s">
        <v>215</v>
      </c>
      <c r="G39" s="140"/>
      <c r="H39" s="103"/>
      <c r="I39"/>
    </row>
    <row r="40" spans="1:11" x14ac:dyDescent="0.25">
      <c r="A40" s="112">
        <v>36</v>
      </c>
      <c r="B40" s="112">
        <v>508</v>
      </c>
      <c r="C40" s="107" t="s">
        <v>151</v>
      </c>
      <c r="D40" s="112"/>
      <c r="E40" s="120" t="s">
        <v>25</v>
      </c>
      <c r="F40" s="140" t="s">
        <v>215</v>
      </c>
      <c r="G40" s="140"/>
      <c r="H40" s="103"/>
      <c r="I40"/>
    </row>
    <row r="41" spans="1:11" x14ac:dyDescent="0.25">
      <c r="A41" s="112">
        <v>37</v>
      </c>
      <c r="B41" s="112">
        <v>507</v>
      </c>
      <c r="C41" s="107" t="s">
        <v>154</v>
      </c>
      <c r="D41" s="112"/>
      <c r="E41" s="121" t="s">
        <v>29</v>
      </c>
      <c r="F41" s="140" t="s">
        <v>214</v>
      </c>
      <c r="G41" s="140"/>
      <c r="H41" s="107"/>
      <c r="I41" s="112"/>
      <c r="J41" s="121"/>
      <c r="K41" s="140"/>
    </row>
    <row r="42" spans="1:11" x14ac:dyDescent="0.25">
      <c r="A42" s="112">
        <v>38</v>
      </c>
      <c r="B42" s="112">
        <v>506</v>
      </c>
      <c r="C42" s="107" t="s">
        <v>108</v>
      </c>
      <c r="D42" s="116" t="s">
        <v>27</v>
      </c>
      <c r="E42" s="118"/>
      <c r="F42" s="140" t="s">
        <v>212</v>
      </c>
      <c r="G42" s="140"/>
      <c r="H42" s="103"/>
      <c r="I42"/>
    </row>
    <row r="43" spans="1:11" x14ac:dyDescent="0.25">
      <c r="A43" s="112">
        <v>39</v>
      </c>
      <c r="B43" s="112">
        <v>505</v>
      </c>
      <c r="C43" s="107" t="s">
        <v>104</v>
      </c>
      <c r="D43" s="119" t="s">
        <v>15</v>
      </c>
      <c r="E43" s="116"/>
      <c r="F43" s="140" t="s">
        <v>213</v>
      </c>
      <c r="G43" s="140"/>
      <c r="H43" s="103"/>
      <c r="I43"/>
    </row>
    <row r="44" spans="1:11" x14ac:dyDescent="0.25">
      <c r="A44" s="112">
        <v>40</v>
      </c>
      <c r="B44" s="112">
        <v>504</v>
      </c>
      <c r="C44" s="107" t="s">
        <v>152</v>
      </c>
      <c r="D44" s="112"/>
      <c r="E44" s="121" t="s">
        <v>26</v>
      </c>
      <c r="F44" s="140" t="s">
        <v>215</v>
      </c>
      <c r="G44" s="140"/>
      <c r="H44" s="103"/>
      <c r="I44"/>
    </row>
    <row r="45" spans="1:11" x14ac:dyDescent="0.25">
      <c r="A45" s="112">
        <v>41</v>
      </c>
      <c r="B45" s="112">
        <v>503</v>
      </c>
      <c r="C45" s="107" t="s">
        <v>155</v>
      </c>
      <c r="D45" s="120" t="s">
        <v>30</v>
      </c>
      <c r="E45" s="118"/>
      <c r="F45" s="140" t="s">
        <v>212</v>
      </c>
      <c r="G45" s="140"/>
      <c r="H45" s="103"/>
      <c r="I45"/>
    </row>
    <row r="46" spans="1:11" x14ac:dyDescent="0.25">
      <c r="A46" s="112">
        <v>42</v>
      </c>
      <c r="B46" s="112">
        <v>502</v>
      </c>
      <c r="C46" s="107" t="s">
        <v>109</v>
      </c>
      <c r="D46" s="119"/>
      <c r="E46" s="120" t="s">
        <v>31</v>
      </c>
      <c r="F46" s="140" t="s">
        <v>212</v>
      </c>
      <c r="G46" s="140"/>
      <c r="H46" s="103"/>
      <c r="I46"/>
    </row>
    <row r="47" spans="1:11" x14ac:dyDescent="0.25">
      <c r="A47" s="112">
        <v>43</v>
      </c>
      <c r="B47" s="112">
        <v>501</v>
      </c>
      <c r="C47" s="107" t="s">
        <v>110</v>
      </c>
      <c r="D47" s="112"/>
      <c r="E47" s="121" t="s">
        <v>32</v>
      </c>
      <c r="F47" s="140" t="s">
        <v>216</v>
      </c>
      <c r="G47" s="140"/>
      <c r="H47" s="103"/>
      <c r="I47"/>
    </row>
    <row r="48" spans="1:11" x14ac:dyDescent="0.25">
      <c r="A48" s="112">
        <v>44</v>
      </c>
      <c r="B48" s="112">
        <v>500</v>
      </c>
      <c r="C48" s="107" t="s">
        <v>111</v>
      </c>
      <c r="D48" s="112"/>
      <c r="E48" s="121" t="s">
        <v>33</v>
      </c>
      <c r="F48" s="140" t="s">
        <v>216</v>
      </c>
      <c r="G48" s="140"/>
      <c r="H48" s="103"/>
      <c r="I48"/>
    </row>
    <row r="49" spans="1:9" x14ac:dyDescent="0.25">
      <c r="A49" s="112">
        <v>45</v>
      </c>
      <c r="B49" s="112">
        <v>499</v>
      </c>
      <c r="C49" s="107" t="s">
        <v>156</v>
      </c>
      <c r="D49" s="117"/>
      <c r="E49" s="120" t="s">
        <v>34</v>
      </c>
      <c r="F49" s="140" t="s">
        <v>216</v>
      </c>
      <c r="G49" s="140"/>
      <c r="H49" s="103"/>
      <c r="I49"/>
    </row>
    <row r="50" spans="1:9" x14ac:dyDescent="0.25">
      <c r="A50" s="112">
        <v>46</v>
      </c>
      <c r="B50" s="112">
        <v>498</v>
      </c>
      <c r="C50" s="107" t="s">
        <v>157</v>
      </c>
      <c r="D50" s="130"/>
      <c r="E50" s="120" t="s">
        <v>35</v>
      </c>
      <c r="F50" s="140" t="s">
        <v>216</v>
      </c>
      <c r="G50" s="140"/>
      <c r="H50" s="103"/>
      <c r="I50"/>
    </row>
    <row r="51" spans="1:9" x14ac:dyDescent="0.25">
      <c r="A51" s="112">
        <v>47</v>
      </c>
      <c r="B51" s="112">
        <v>497</v>
      </c>
      <c r="C51" s="107" t="s">
        <v>158</v>
      </c>
      <c r="D51" s="112"/>
      <c r="E51" s="121" t="s">
        <v>36</v>
      </c>
      <c r="F51" s="140" t="s">
        <v>216</v>
      </c>
      <c r="G51" s="140"/>
      <c r="H51" s="103"/>
      <c r="I51"/>
    </row>
    <row r="52" spans="1:9" x14ac:dyDescent="0.25">
      <c r="A52" s="112">
        <v>48</v>
      </c>
      <c r="B52" s="112">
        <v>496</v>
      </c>
      <c r="C52" s="107" t="s">
        <v>112</v>
      </c>
      <c r="D52" s="131" t="s">
        <v>37</v>
      </c>
      <c r="E52" s="130"/>
      <c r="F52" s="140" t="s">
        <v>208</v>
      </c>
      <c r="G52" s="140"/>
      <c r="H52" s="103"/>
      <c r="I52"/>
    </row>
    <row r="53" spans="1:9" x14ac:dyDescent="0.25">
      <c r="A53" s="112">
        <v>49</v>
      </c>
      <c r="B53" s="112">
        <v>495</v>
      </c>
      <c r="C53" s="107" t="s">
        <v>113</v>
      </c>
      <c r="D53" s="112"/>
      <c r="E53" s="121" t="s">
        <v>38</v>
      </c>
      <c r="F53" s="140" t="s">
        <v>208</v>
      </c>
      <c r="G53" s="140"/>
      <c r="H53" s="103"/>
      <c r="I53"/>
    </row>
    <row r="54" spans="1:9" x14ac:dyDescent="0.25">
      <c r="A54" s="112">
        <v>50</v>
      </c>
      <c r="B54" s="112">
        <v>494</v>
      </c>
      <c r="C54" s="107" t="s">
        <v>159</v>
      </c>
      <c r="D54" s="115">
        <v>25851</v>
      </c>
      <c r="E54" s="118"/>
      <c r="F54" s="140" t="s">
        <v>208</v>
      </c>
      <c r="G54" s="140"/>
      <c r="H54" s="103"/>
      <c r="I54"/>
    </row>
    <row r="55" spans="1:9" x14ac:dyDescent="0.25">
      <c r="A55" s="112">
        <v>51</v>
      </c>
      <c r="B55" s="112">
        <v>493</v>
      </c>
      <c r="C55" s="107" t="s">
        <v>114</v>
      </c>
      <c r="D55" s="112"/>
      <c r="E55" s="120" t="s">
        <v>39</v>
      </c>
      <c r="F55" s="140" t="s">
        <v>208</v>
      </c>
      <c r="G55" s="140"/>
      <c r="H55" s="103"/>
      <c r="I55"/>
    </row>
    <row r="56" spans="1:9" x14ac:dyDescent="0.25">
      <c r="A56" s="112">
        <v>52</v>
      </c>
      <c r="B56" s="112">
        <v>492</v>
      </c>
      <c r="C56" s="107" t="s">
        <v>115</v>
      </c>
      <c r="D56" s="112"/>
      <c r="E56" s="121" t="s">
        <v>40</v>
      </c>
      <c r="F56" s="140" t="s">
        <v>208</v>
      </c>
      <c r="G56" s="140"/>
      <c r="H56" s="103"/>
      <c r="I56"/>
    </row>
    <row r="57" spans="1:9" x14ac:dyDescent="0.25">
      <c r="A57" s="112">
        <v>53</v>
      </c>
      <c r="B57" s="112">
        <v>491</v>
      </c>
      <c r="C57" s="107" t="s">
        <v>116</v>
      </c>
      <c r="D57" s="112"/>
      <c r="E57" s="116" t="s">
        <v>41</v>
      </c>
      <c r="F57" s="140" t="s">
        <v>208</v>
      </c>
      <c r="G57" s="140"/>
      <c r="H57" s="103"/>
      <c r="I57"/>
    </row>
    <row r="58" spans="1:9" x14ac:dyDescent="0.25">
      <c r="A58" s="112">
        <v>54</v>
      </c>
      <c r="B58" s="112">
        <v>490</v>
      </c>
      <c r="C58" s="107" t="s">
        <v>160</v>
      </c>
      <c r="D58" s="121"/>
      <c r="E58" s="120" t="s">
        <v>42</v>
      </c>
      <c r="F58" s="140" t="s">
        <v>208</v>
      </c>
      <c r="G58" s="140"/>
      <c r="H58" s="103"/>
      <c r="I58"/>
    </row>
    <row r="59" spans="1:9" x14ac:dyDescent="0.25">
      <c r="A59" s="112">
        <v>55</v>
      </c>
      <c r="B59" s="112">
        <v>489</v>
      </c>
      <c r="C59" s="2" t="s">
        <v>126</v>
      </c>
      <c r="D59" s="129"/>
      <c r="E59" s="128" t="s">
        <v>69</v>
      </c>
      <c r="F59" s="140" t="s">
        <v>208</v>
      </c>
      <c r="G59" s="140"/>
      <c r="H59" s="103"/>
      <c r="I59"/>
    </row>
    <row r="60" spans="1:9" x14ac:dyDescent="0.25">
      <c r="A60" s="112">
        <v>56</v>
      </c>
      <c r="B60" s="112">
        <v>488</v>
      </c>
      <c r="C60" s="107" t="s">
        <v>165</v>
      </c>
      <c r="D60" s="112"/>
      <c r="E60" s="121" t="s">
        <v>49</v>
      </c>
      <c r="F60" s="140" t="s">
        <v>217</v>
      </c>
      <c r="G60" s="140"/>
      <c r="H60" s="103"/>
      <c r="I60"/>
    </row>
    <row r="61" spans="1:9" x14ac:dyDescent="0.25">
      <c r="A61" s="112">
        <v>57</v>
      </c>
      <c r="B61" s="112">
        <v>487</v>
      </c>
      <c r="C61" s="107" t="s">
        <v>117</v>
      </c>
      <c r="D61" s="112"/>
      <c r="E61" s="116" t="s">
        <v>45</v>
      </c>
      <c r="F61" s="140" t="s">
        <v>208</v>
      </c>
      <c r="G61" s="140"/>
      <c r="H61" s="103"/>
      <c r="I61"/>
    </row>
    <row r="62" spans="1:9" x14ac:dyDescent="0.25">
      <c r="A62" s="112">
        <v>58</v>
      </c>
      <c r="B62" s="112">
        <v>486</v>
      </c>
      <c r="C62" s="107" t="s">
        <v>118</v>
      </c>
      <c r="D62" s="112"/>
      <c r="E62" s="120" t="s">
        <v>46</v>
      </c>
      <c r="F62" s="140" t="s">
        <v>208</v>
      </c>
      <c r="G62" s="140"/>
      <c r="H62" s="103"/>
      <c r="I62"/>
    </row>
    <row r="63" spans="1:9" x14ac:dyDescent="0.25">
      <c r="A63" s="112">
        <v>59</v>
      </c>
      <c r="B63" s="112">
        <v>485</v>
      </c>
      <c r="C63" s="107" t="s">
        <v>119</v>
      </c>
      <c r="D63" s="116" t="s">
        <v>47</v>
      </c>
      <c r="E63" s="118"/>
      <c r="F63" s="140" t="s">
        <v>217</v>
      </c>
      <c r="G63" s="140"/>
      <c r="H63" s="103"/>
      <c r="I63"/>
    </row>
    <row r="64" spans="1:9" x14ac:dyDescent="0.25">
      <c r="A64" s="112">
        <v>60</v>
      </c>
      <c r="B64" s="112">
        <v>484</v>
      </c>
      <c r="C64" s="107" t="s">
        <v>163</v>
      </c>
      <c r="D64" s="119" t="s">
        <v>48</v>
      </c>
      <c r="E64" s="116"/>
      <c r="F64" s="140" t="s">
        <v>217</v>
      </c>
      <c r="G64" s="140"/>
      <c r="H64" s="103"/>
      <c r="I64"/>
    </row>
    <row r="65" spans="1:9" x14ac:dyDescent="0.25">
      <c r="A65" s="112">
        <v>61</v>
      </c>
      <c r="B65" s="112">
        <v>483</v>
      </c>
      <c r="C65" s="107" t="s">
        <v>164</v>
      </c>
      <c r="D65" s="115">
        <v>32788</v>
      </c>
      <c r="E65" s="118"/>
      <c r="F65" s="140" t="s">
        <v>217</v>
      </c>
      <c r="G65" s="140"/>
      <c r="H65" s="103"/>
      <c r="I65"/>
    </row>
    <row r="66" spans="1:9" x14ac:dyDescent="0.25">
      <c r="A66" s="112">
        <v>62</v>
      </c>
      <c r="B66" s="112">
        <v>482</v>
      </c>
      <c r="C66" s="107" t="s">
        <v>162</v>
      </c>
      <c r="D66" s="112"/>
      <c r="E66" s="116" t="s">
        <v>44</v>
      </c>
      <c r="F66" s="140" t="s">
        <v>208</v>
      </c>
      <c r="G66" s="140"/>
      <c r="H66" s="103"/>
      <c r="I66"/>
    </row>
    <row r="67" spans="1:9" x14ac:dyDescent="0.25">
      <c r="A67" s="112">
        <v>63</v>
      </c>
      <c r="B67" s="112">
        <v>481</v>
      </c>
      <c r="C67" s="107" t="s">
        <v>120</v>
      </c>
      <c r="D67" s="116" t="s">
        <v>50</v>
      </c>
      <c r="E67" s="118"/>
      <c r="F67" s="140" t="s">
        <v>211</v>
      </c>
      <c r="G67" s="140"/>
      <c r="H67" s="103"/>
      <c r="I67"/>
    </row>
    <row r="68" spans="1:9" x14ac:dyDescent="0.25">
      <c r="A68" s="112">
        <v>64</v>
      </c>
      <c r="B68" s="112">
        <v>480</v>
      </c>
      <c r="C68" s="107" t="s">
        <v>166</v>
      </c>
      <c r="D68" s="121" t="s">
        <v>51</v>
      </c>
      <c r="E68" s="118"/>
      <c r="F68" s="140" t="s">
        <v>211</v>
      </c>
      <c r="G68" s="140"/>
      <c r="H68" s="103"/>
      <c r="I68"/>
    </row>
    <row r="69" spans="1:9" x14ac:dyDescent="0.25">
      <c r="A69" s="112">
        <v>65</v>
      </c>
      <c r="B69" s="112">
        <v>479</v>
      </c>
      <c r="C69" s="107" t="s">
        <v>167</v>
      </c>
      <c r="D69" s="132"/>
      <c r="E69" s="121" t="s">
        <v>52</v>
      </c>
      <c r="F69" s="140" t="s">
        <v>211</v>
      </c>
      <c r="G69" s="140"/>
      <c r="H69" s="103"/>
      <c r="I69"/>
    </row>
    <row r="70" spans="1:9" x14ac:dyDescent="0.25">
      <c r="A70" s="112">
        <v>66</v>
      </c>
      <c r="B70" s="112">
        <v>478</v>
      </c>
      <c r="C70" s="107" t="s">
        <v>121</v>
      </c>
      <c r="D70" s="112"/>
      <c r="E70" s="116" t="s">
        <v>53</v>
      </c>
      <c r="F70" s="140" t="s">
        <v>211</v>
      </c>
      <c r="G70" s="140"/>
      <c r="H70" s="103"/>
      <c r="I70"/>
    </row>
    <row r="71" spans="1:9" x14ac:dyDescent="0.25">
      <c r="A71" s="112">
        <v>67</v>
      </c>
      <c r="B71" s="112">
        <v>477</v>
      </c>
      <c r="C71" s="107" t="s">
        <v>168</v>
      </c>
      <c r="D71" s="112"/>
      <c r="E71" s="116" t="s">
        <v>54</v>
      </c>
      <c r="F71" s="140" t="s">
        <v>211</v>
      </c>
      <c r="G71" s="140"/>
      <c r="H71" s="103"/>
      <c r="I71"/>
    </row>
    <row r="72" spans="1:9" x14ac:dyDescent="0.25">
      <c r="A72" s="112">
        <v>68</v>
      </c>
      <c r="B72" s="112">
        <v>476</v>
      </c>
      <c r="C72" s="107" t="s">
        <v>122</v>
      </c>
      <c r="D72" s="131" t="s">
        <v>55</v>
      </c>
      <c r="E72" s="118"/>
      <c r="F72" s="140" t="s">
        <v>211</v>
      </c>
      <c r="G72" s="140"/>
      <c r="H72" s="103"/>
      <c r="I72"/>
    </row>
    <row r="73" spans="1:9" x14ac:dyDescent="0.25">
      <c r="A73" s="112">
        <v>69</v>
      </c>
      <c r="B73" s="112">
        <v>475</v>
      </c>
      <c r="C73" s="107" t="s">
        <v>192</v>
      </c>
      <c r="D73" s="112"/>
      <c r="E73" s="121" t="s">
        <v>56</v>
      </c>
      <c r="F73" s="140" t="s">
        <v>211</v>
      </c>
      <c r="G73" s="140"/>
      <c r="H73" s="103"/>
      <c r="I73"/>
    </row>
    <row r="74" spans="1:9" x14ac:dyDescent="0.25">
      <c r="A74" s="112">
        <v>70</v>
      </c>
      <c r="B74" s="112">
        <v>474</v>
      </c>
      <c r="C74" s="107" t="s">
        <v>191</v>
      </c>
      <c r="D74" s="112"/>
      <c r="E74" s="121" t="s">
        <v>57</v>
      </c>
      <c r="F74" s="140" t="s">
        <v>208</v>
      </c>
      <c r="G74" s="140"/>
      <c r="H74" s="103"/>
      <c r="I74"/>
    </row>
    <row r="75" spans="1:9" x14ac:dyDescent="0.25">
      <c r="A75" s="112">
        <v>71</v>
      </c>
      <c r="B75" s="112">
        <v>473</v>
      </c>
      <c r="C75" s="110" t="s">
        <v>190</v>
      </c>
      <c r="D75" s="112" t="s">
        <v>58</v>
      </c>
      <c r="E75" s="121"/>
      <c r="F75" s="140" t="s">
        <v>214</v>
      </c>
      <c r="G75" s="140"/>
      <c r="H75" s="103"/>
      <c r="I75"/>
    </row>
    <row r="76" spans="1:9" x14ac:dyDescent="0.25">
      <c r="A76" s="112">
        <v>72</v>
      </c>
      <c r="B76" s="112">
        <v>472</v>
      </c>
      <c r="C76" s="2" t="s">
        <v>130</v>
      </c>
      <c r="D76" s="129"/>
      <c r="E76" s="124" t="s">
        <v>78</v>
      </c>
      <c r="F76" s="140" t="s">
        <v>218</v>
      </c>
      <c r="G76" s="140"/>
      <c r="H76" s="103"/>
      <c r="I76"/>
    </row>
    <row r="77" spans="1:9" x14ac:dyDescent="0.25">
      <c r="A77" s="112">
        <v>73</v>
      </c>
      <c r="B77" s="112">
        <v>471</v>
      </c>
      <c r="C77" s="2" t="s">
        <v>123</v>
      </c>
      <c r="D77" s="133"/>
      <c r="E77" s="123" t="s">
        <v>60</v>
      </c>
      <c r="F77" s="140" t="s">
        <v>208</v>
      </c>
      <c r="G77" s="140"/>
      <c r="H77" s="103"/>
      <c r="I77"/>
    </row>
    <row r="78" spans="1:9" x14ac:dyDescent="0.25">
      <c r="A78" s="112">
        <v>74</v>
      </c>
      <c r="B78" s="112">
        <v>470</v>
      </c>
      <c r="C78" s="2" t="s">
        <v>188</v>
      </c>
      <c r="D78" s="134" t="s">
        <v>61</v>
      </c>
      <c r="E78" s="135"/>
      <c r="F78" s="140" t="s">
        <v>211</v>
      </c>
      <c r="G78" s="140"/>
      <c r="H78" s="103"/>
      <c r="I78"/>
    </row>
    <row r="79" spans="1:9" x14ac:dyDescent="0.25">
      <c r="A79" s="112">
        <v>75</v>
      </c>
      <c r="B79" s="112">
        <v>469</v>
      </c>
      <c r="C79" s="2" t="s">
        <v>187</v>
      </c>
      <c r="D79" s="123"/>
      <c r="E79" s="123" t="s">
        <v>62</v>
      </c>
      <c r="F79" s="140" t="s">
        <v>208</v>
      </c>
      <c r="G79" s="140"/>
      <c r="H79" s="103"/>
      <c r="I79"/>
    </row>
    <row r="80" spans="1:9" x14ac:dyDescent="0.25">
      <c r="A80" s="112">
        <v>76</v>
      </c>
      <c r="B80" s="112">
        <v>468</v>
      </c>
      <c r="C80" s="2" t="s">
        <v>186</v>
      </c>
      <c r="D80" s="129"/>
      <c r="E80" s="128" t="s">
        <v>56</v>
      </c>
      <c r="F80" s="140" t="s">
        <v>208</v>
      </c>
      <c r="G80" s="140"/>
      <c r="H80" s="103"/>
      <c r="I80"/>
    </row>
    <row r="81" spans="1:9" x14ac:dyDescent="0.25">
      <c r="A81" s="112">
        <v>77</v>
      </c>
      <c r="B81" s="112">
        <v>467</v>
      </c>
      <c r="C81" s="2" t="s">
        <v>299</v>
      </c>
      <c r="D81" s="129"/>
      <c r="E81" s="135">
        <v>34731</v>
      </c>
      <c r="F81" s="140" t="s">
        <v>217</v>
      </c>
      <c r="G81" s="140"/>
      <c r="H81" s="103"/>
      <c r="I81"/>
    </row>
    <row r="82" spans="1:9" x14ac:dyDescent="0.25">
      <c r="A82" s="112">
        <v>78</v>
      </c>
      <c r="B82" s="112">
        <v>466</v>
      </c>
      <c r="C82" s="2" t="s">
        <v>125</v>
      </c>
      <c r="D82" s="129"/>
      <c r="E82" s="124" t="s">
        <v>64</v>
      </c>
      <c r="F82" s="140" t="s">
        <v>209</v>
      </c>
      <c r="G82" s="140"/>
      <c r="H82" s="103"/>
      <c r="I82"/>
    </row>
    <row r="83" spans="1:9" x14ac:dyDescent="0.25">
      <c r="A83" s="112">
        <v>79</v>
      </c>
      <c r="B83" s="112">
        <v>465</v>
      </c>
      <c r="C83" s="2" t="s">
        <v>185</v>
      </c>
      <c r="D83" s="129"/>
      <c r="E83" s="128" t="s">
        <v>65</v>
      </c>
      <c r="F83" s="140" t="s">
        <v>218</v>
      </c>
      <c r="G83" s="140"/>
      <c r="H83" s="103"/>
      <c r="I83"/>
    </row>
    <row r="84" spans="1:9" x14ac:dyDescent="0.25">
      <c r="A84" s="112">
        <v>80</v>
      </c>
      <c r="B84" s="112">
        <v>464</v>
      </c>
      <c r="C84" s="107" t="s">
        <v>101</v>
      </c>
      <c r="D84" s="119" t="s">
        <v>5</v>
      </c>
      <c r="E84" s="120"/>
      <c r="F84" s="140" t="s">
        <v>207</v>
      </c>
      <c r="G84" s="140"/>
      <c r="H84" s="103"/>
      <c r="I84"/>
    </row>
    <row r="85" spans="1:9" x14ac:dyDescent="0.25">
      <c r="A85" s="112">
        <v>81</v>
      </c>
      <c r="B85" s="112">
        <v>463</v>
      </c>
      <c r="C85" s="107" t="s">
        <v>293</v>
      </c>
      <c r="D85" s="112" t="s">
        <v>294</v>
      </c>
      <c r="E85" s="120"/>
      <c r="F85" s="140" t="s">
        <v>218</v>
      </c>
      <c r="G85" s="140"/>
      <c r="H85" s="103"/>
      <c r="I85"/>
    </row>
    <row r="86" spans="1:9" x14ac:dyDescent="0.25">
      <c r="A86" s="112">
        <v>82</v>
      </c>
      <c r="B86" s="112">
        <v>462</v>
      </c>
      <c r="C86" s="2" t="s">
        <v>183</v>
      </c>
      <c r="D86" s="129"/>
      <c r="E86" s="128" t="s">
        <v>68</v>
      </c>
      <c r="F86" s="140" t="s">
        <v>208</v>
      </c>
      <c r="G86" s="140"/>
      <c r="H86" s="103"/>
      <c r="I86"/>
    </row>
    <row r="87" spans="1:9" x14ac:dyDescent="0.25">
      <c r="A87" s="112">
        <v>83</v>
      </c>
      <c r="B87" s="112">
        <v>461</v>
      </c>
      <c r="C87" s="107" t="s">
        <v>140</v>
      </c>
      <c r="D87" s="136" t="s">
        <v>4</v>
      </c>
      <c r="E87" s="118"/>
      <c r="F87" s="140" t="s">
        <v>207</v>
      </c>
      <c r="G87" s="140"/>
      <c r="H87" s="103"/>
      <c r="I87"/>
    </row>
    <row r="88" spans="1:9" x14ac:dyDescent="0.25">
      <c r="A88" s="112">
        <v>84</v>
      </c>
      <c r="B88" s="112">
        <v>460</v>
      </c>
      <c r="C88" s="2" t="s">
        <v>182</v>
      </c>
      <c r="D88" s="129"/>
      <c r="E88" s="123" t="s">
        <v>70</v>
      </c>
      <c r="F88" s="140" t="s">
        <v>208</v>
      </c>
      <c r="G88" s="140"/>
      <c r="H88" s="103"/>
      <c r="I88"/>
    </row>
    <row r="89" spans="1:9" x14ac:dyDescent="0.25">
      <c r="A89" s="112">
        <v>85</v>
      </c>
      <c r="B89" s="112">
        <v>459</v>
      </c>
      <c r="C89" s="2" t="s">
        <v>181</v>
      </c>
      <c r="D89" s="129"/>
      <c r="E89" s="128" t="s">
        <v>71</v>
      </c>
      <c r="F89" s="140" t="s">
        <v>213</v>
      </c>
      <c r="G89" s="140"/>
      <c r="H89" s="103"/>
      <c r="I89"/>
    </row>
    <row r="90" spans="1:9" x14ac:dyDescent="0.25">
      <c r="A90" s="112">
        <v>86</v>
      </c>
      <c r="B90" s="112">
        <v>458</v>
      </c>
      <c r="C90" s="2" t="s">
        <v>127</v>
      </c>
      <c r="D90" s="129"/>
      <c r="E90" s="128" t="s">
        <v>72</v>
      </c>
      <c r="F90" s="140" t="s">
        <v>208</v>
      </c>
      <c r="G90" s="140"/>
      <c r="H90" s="103"/>
      <c r="I90"/>
    </row>
    <row r="91" spans="1:9" x14ac:dyDescent="0.25">
      <c r="A91" s="112">
        <v>87</v>
      </c>
      <c r="B91" s="112">
        <v>457</v>
      </c>
      <c r="C91" s="2" t="s">
        <v>180</v>
      </c>
      <c r="D91" s="137"/>
      <c r="E91" s="134" t="s">
        <v>73</v>
      </c>
      <c r="F91" s="140" t="s">
        <v>208</v>
      </c>
      <c r="G91" s="140"/>
      <c r="H91" s="103"/>
      <c r="I91"/>
    </row>
    <row r="92" spans="1:9" x14ac:dyDescent="0.25">
      <c r="A92" s="112">
        <v>88</v>
      </c>
      <c r="B92" s="112">
        <v>456</v>
      </c>
      <c r="C92" s="2" t="s">
        <v>128</v>
      </c>
      <c r="D92" s="129"/>
      <c r="E92" s="134" t="s">
        <v>74</v>
      </c>
      <c r="F92" s="140" t="s">
        <v>209</v>
      </c>
      <c r="G92" s="140"/>
      <c r="H92" s="103"/>
      <c r="I92"/>
    </row>
    <row r="93" spans="1:9" x14ac:dyDescent="0.25">
      <c r="A93" s="112">
        <v>89</v>
      </c>
      <c r="B93" s="112">
        <v>455</v>
      </c>
      <c r="C93" s="2" t="s">
        <v>129</v>
      </c>
      <c r="D93" s="129"/>
      <c r="E93" s="123" t="s">
        <v>75</v>
      </c>
      <c r="F93" s="140" t="s">
        <v>214</v>
      </c>
      <c r="G93" s="140"/>
      <c r="H93" s="103"/>
      <c r="I93"/>
    </row>
    <row r="94" spans="1:9" x14ac:dyDescent="0.25">
      <c r="A94" s="112">
        <v>90</v>
      </c>
      <c r="B94" s="112">
        <v>454</v>
      </c>
      <c r="C94" s="2" t="s">
        <v>179</v>
      </c>
      <c r="D94" s="128"/>
      <c r="E94" s="124" t="s">
        <v>76</v>
      </c>
      <c r="F94" s="140" t="s">
        <v>214</v>
      </c>
      <c r="G94" s="140"/>
      <c r="H94" s="103"/>
      <c r="I94"/>
    </row>
    <row r="95" spans="1:9" x14ac:dyDescent="0.25">
      <c r="A95" s="112">
        <v>91</v>
      </c>
      <c r="B95" s="112">
        <v>453</v>
      </c>
      <c r="C95" s="107" t="s">
        <v>103</v>
      </c>
      <c r="D95" s="116"/>
      <c r="E95" s="121" t="s">
        <v>14</v>
      </c>
      <c r="F95" s="140" t="s">
        <v>210</v>
      </c>
      <c r="G95" s="140"/>
      <c r="H95" s="103"/>
      <c r="I95"/>
    </row>
    <row r="96" spans="1:9" x14ac:dyDescent="0.25">
      <c r="A96" s="112">
        <v>92</v>
      </c>
      <c r="B96" s="112">
        <v>452</v>
      </c>
      <c r="C96" s="107" t="s">
        <v>296</v>
      </c>
      <c r="D96" s="116"/>
      <c r="E96" s="121">
        <v>30845</v>
      </c>
      <c r="F96" s="140" t="s">
        <v>208</v>
      </c>
      <c r="G96" s="140"/>
      <c r="H96" s="103"/>
      <c r="I96"/>
    </row>
    <row r="97" spans="1:9" x14ac:dyDescent="0.25">
      <c r="A97" s="112">
        <v>93</v>
      </c>
      <c r="B97" s="112">
        <v>451</v>
      </c>
      <c r="C97" s="2" t="s">
        <v>131</v>
      </c>
      <c r="D97" s="123" t="s">
        <v>79</v>
      </c>
      <c r="E97" s="138"/>
      <c r="F97" s="140" t="s">
        <v>218</v>
      </c>
      <c r="G97" s="140"/>
      <c r="H97" s="103"/>
      <c r="I97"/>
    </row>
    <row r="98" spans="1:9" x14ac:dyDescent="0.25">
      <c r="A98" s="112">
        <v>94</v>
      </c>
      <c r="B98" s="112">
        <v>450</v>
      </c>
      <c r="C98" s="2" t="s">
        <v>132</v>
      </c>
      <c r="D98" s="123" t="s">
        <v>80</v>
      </c>
      <c r="E98" s="134"/>
      <c r="F98" s="140" t="s">
        <v>217</v>
      </c>
      <c r="G98" s="140"/>
      <c r="H98" s="103"/>
      <c r="I98"/>
    </row>
    <row r="99" spans="1:9" x14ac:dyDescent="0.25">
      <c r="A99" s="112">
        <v>95</v>
      </c>
      <c r="B99" s="112">
        <v>449</v>
      </c>
      <c r="C99" s="2" t="s">
        <v>133</v>
      </c>
      <c r="D99" s="128"/>
      <c r="E99" s="134" t="s">
        <v>81</v>
      </c>
      <c r="F99" s="140" t="s">
        <v>218</v>
      </c>
      <c r="G99" s="140"/>
      <c r="H99" s="103"/>
      <c r="I99"/>
    </row>
    <row r="100" spans="1:9" x14ac:dyDescent="0.25">
      <c r="A100" s="112">
        <v>96</v>
      </c>
      <c r="B100" s="112">
        <v>448</v>
      </c>
      <c r="C100" s="2" t="s">
        <v>177</v>
      </c>
      <c r="D100" s="133"/>
      <c r="E100" s="124" t="s">
        <v>82</v>
      </c>
      <c r="F100" s="140" t="s">
        <v>209</v>
      </c>
      <c r="G100" s="140"/>
      <c r="H100" s="103"/>
      <c r="I100"/>
    </row>
    <row r="101" spans="1:9" x14ac:dyDescent="0.25">
      <c r="A101" s="112">
        <v>97</v>
      </c>
      <c r="B101" s="112">
        <v>447</v>
      </c>
      <c r="C101" s="2" t="s">
        <v>295</v>
      </c>
      <c r="D101" s="133"/>
      <c r="E101" s="124">
        <v>34973</v>
      </c>
      <c r="F101" s="140" t="s">
        <v>219</v>
      </c>
      <c r="G101" s="140"/>
      <c r="H101" s="103"/>
      <c r="I101"/>
    </row>
    <row r="102" spans="1:9" x14ac:dyDescent="0.25">
      <c r="A102" s="112">
        <v>98</v>
      </c>
      <c r="B102" s="112">
        <v>446</v>
      </c>
      <c r="C102" s="2" t="s">
        <v>176</v>
      </c>
      <c r="D102" s="129"/>
      <c r="E102" s="123" t="s">
        <v>84</v>
      </c>
      <c r="F102" s="140" t="s">
        <v>218</v>
      </c>
      <c r="G102" s="140"/>
      <c r="H102" s="103"/>
      <c r="I102"/>
    </row>
    <row r="103" spans="1:9" x14ac:dyDescent="0.25">
      <c r="A103" s="112">
        <v>99</v>
      </c>
      <c r="B103" s="112">
        <v>445</v>
      </c>
      <c r="C103" s="2" t="s">
        <v>175</v>
      </c>
      <c r="D103" s="124"/>
      <c r="E103" s="124" t="s">
        <v>85</v>
      </c>
      <c r="F103" s="140" t="s">
        <v>219</v>
      </c>
      <c r="G103" s="140"/>
      <c r="H103" s="103"/>
      <c r="I103"/>
    </row>
    <row r="104" spans="1:9" x14ac:dyDescent="0.25">
      <c r="A104" s="112">
        <v>100</v>
      </c>
      <c r="B104" s="112">
        <v>444</v>
      </c>
      <c r="C104" s="2" t="s">
        <v>174</v>
      </c>
      <c r="D104" s="128"/>
      <c r="E104" s="123" t="s">
        <v>86</v>
      </c>
      <c r="F104" s="140" t="s">
        <v>212</v>
      </c>
      <c r="G104" s="140"/>
      <c r="H104" s="103"/>
      <c r="I104"/>
    </row>
    <row r="105" spans="1:9" x14ac:dyDescent="0.25">
      <c r="A105" s="112">
        <v>101</v>
      </c>
      <c r="B105" s="112">
        <v>443</v>
      </c>
      <c r="C105" s="2" t="s">
        <v>173</v>
      </c>
      <c r="D105" s="129"/>
      <c r="E105" s="124" t="s">
        <v>87</v>
      </c>
      <c r="F105" s="140" t="s">
        <v>209</v>
      </c>
      <c r="G105" s="140"/>
      <c r="H105" s="103"/>
      <c r="I105"/>
    </row>
    <row r="106" spans="1:9" x14ac:dyDescent="0.25">
      <c r="A106" s="112">
        <v>102</v>
      </c>
      <c r="B106" s="112">
        <v>442</v>
      </c>
      <c r="C106" s="2" t="s">
        <v>135</v>
      </c>
      <c r="D106" s="129"/>
      <c r="E106" s="134" t="s">
        <v>88</v>
      </c>
      <c r="F106" s="140" t="s">
        <v>218</v>
      </c>
      <c r="G106" s="140"/>
      <c r="H106" s="103"/>
      <c r="I106"/>
    </row>
    <row r="107" spans="1:9" x14ac:dyDescent="0.25">
      <c r="A107" s="112">
        <v>103</v>
      </c>
      <c r="B107" s="112">
        <v>441</v>
      </c>
      <c r="C107" s="2" t="s">
        <v>172</v>
      </c>
      <c r="D107" s="129"/>
      <c r="E107" s="124" t="s">
        <v>89</v>
      </c>
      <c r="F107" s="140" t="s">
        <v>212</v>
      </c>
      <c r="G107" s="140"/>
      <c r="H107" s="103"/>
      <c r="I107"/>
    </row>
    <row r="108" spans="1:9" x14ac:dyDescent="0.25">
      <c r="A108" s="112">
        <v>104</v>
      </c>
      <c r="B108" s="112">
        <v>440</v>
      </c>
      <c r="C108" s="2" t="s">
        <v>171</v>
      </c>
      <c r="D108" s="124"/>
      <c r="E108" s="123" t="s">
        <v>91</v>
      </c>
      <c r="F108" s="140" t="s">
        <v>208</v>
      </c>
      <c r="G108" s="140"/>
      <c r="H108" s="103"/>
      <c r="I108"/>
    </row>
    <row r="109" spans="1:9" x14ac:dyDescent="0.25">
      <c r="A109" s="112">
        <v>105</v>
      </c>
      <c r="B109" s="112">
        <v>439</v>
      </c>
      <c r="C109" s="2" t="s">
        <v>136</v>
      </c>
      <c r="D109" s="124" t="s">
        <v>90</v>
      </c>
      <c r="E109" s="138"/>
      <c r="F109" s="140" t="s">
        <v>218</v>
      </c>
      <c r="G109" s="140"/>
      <c r="H109" s="103"/>
      <c r="I109"/>
    </row>
    <row r="110" spans="1:9" x14ac:dyDescent="0.25">
      <c r="A110" s="112">
        <v>106</v>
      </c>
      <c r="B110" s="112">
        <v>438</v>
      </c>
      <c r="C110" s="2" t="s">
        <v>137</v>
      </c>
      <c r="D110" s="124" t="s">
        <v>92</v>
      </c>
      <c r="E110" s="138"/>
      <c r="F110" s="140" t="s">
        <v>213</v>
      </c>
      <c r="G110" s="140"/>
      <c r="H110" s="103"/>
      <c r="I110"/>
    </row>
    <row r="111" spans="1:9" x14ac:dyDescent="0.25">
      <c r="A111" s="112">
        <v>107</v>
      </c>
      <c r="B111" s="112">
        <v>437</v>
      </c>
      <c r="C111" s="2" t="s">
        <v>170</v>
      </c>
      <c r="D111" s="134" t="s">
        <v>93</v>
      </c>
      <c r="E111" s="128"/>
      <c r="F111" s="140" t="s">
        <v>217</v>
      </c>
      <c r="G111" s="140"/>
      <c r="H111" s="103"/>
      <c r="I111"/>
    </row>
    <row r="112" spans="1:9" x14ac:dyDescent="0.25">
      <c r="A112" s="112">
        <v>108</v>
      </c>
      <c r="B112" s="112">
        <v>436</v>
      </c>
      <c r="C112" s="2" t="s">
        <v>169</v>
      </c>
      <c r="D112" s="129"/>
      <c r="E112" s="124" t="s">
        <v>94</v>
      </c>
      <c r="F112" s="140" t="s">
        <v>208</v>
      </c>
      <c r="G112" s="140"/>
      <c r="H112" s="103"/>
      <c r="I112"/>
    </row>
    <row r="113" spans="1:9" x14ac:dyDescent="0.25">
      <c r="A113" s="112">
        <v>110</v>
      </c>
      <c r="B113" s="112">
        <v>545</v>
      </c>
      <c r="C113" s="107" t="s">
        <v>429</v>
      </c>
      <c r="D113" s="116"/>
      <c r="E113" s="121" t="s">
        <v>430</v>
      </c>
      <c r="F113" s="140" t="s">
        <v>216</v>
      </c>
      <c r="G113" s="140"/>
      <c r="H113" s="103"/>
      <c r="I113"/>
    </row>
    <row r="114" spans="1:9" x14ac:dyDescent="0.25">
      <c r="A114" s="114">
        <v>111</v>
      </c>
      <c r="B114" s="114">
        <v>546</v>
      </c>
      <c r="C114" s="106" t="s">
        <v>282</v>
      </c>
      <c r="D114" s="139"/>
      <c r="E114" s="139"/>
      <c r="F114" s="144" t="s">
        <v>212</v>
      </c>
      <c r="G114" s="140" t="s">
        <v>351</v>
      </c>
      <c r="H114" s="103"/>
      <c r="I114"/>
    </row>
  </sheetData>
  <sortState ref="A8:G114">
    <sortCondition ref="A5"/>
  </sortState>
  <mergeCells count="1">
    <mergeCell ref="D4:E4"/>
  </mergeCells>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2"/>
  <sheetViews>
    <sheetView workbookViewId="0">
      <selection activeCell="I16" sqref="I16"/>
    </sheetView>
  </sheetViews>
  <sheetFormatPr defaultRowHeight="15" x14ac:dyDescent="0.25"/>
  <cols>
    <col min="1" max="1" width="6.5703125" bestFit="1" customWidth="1"/>
    <col min="2" max="2" width="26.7109375" bestFit="1" customWidth="1"/>
    <col min="3" max="3" width="10.5703125" bestFit="1" customWidth="1"/>
    <col min="4" max="4" width="12.140625" bestFit="1" customWidth="1"/>
    <col min="5" max="5" width="11.85546875" bestFit="1" customWidth="1"/>
    <col min="6" max="6" width="31.7109375" bestFit="1" customWidth="1"/>
    <col min="7" max="7" width="4.140625" bestFit="1" customWidth="1"/>
    <col min="8" max="8" width="13.7109375" customWidth="1"/>
    <col min="9" max="9" width="20.7109375" customWidth="1"/>
  </cols>
  <sheetData>
    <row r="1" spans="1:9" x14ac:dyDescent="0.25">
      <c r="A1" s="241" t="s">
        <v>225</v>
      </c>
      <c r="B1" s="241"/>
      <c r="C1" s="241"/>
      <c r="D1" s="241"/>
      <c r="E1" s="241"/>
      <c r="F1" s="241"/>
      <c r="G1" s="241"/>
      <c r="H1" s="241"/>
    </row>
    <row r="2" spans="1:9" ht="15.75" thickBot="1" x14ac:dyDescent="0.3"/>
    <row r="3" spans="1:9" ht="15.75" thickTop="1" x14ac:dyDescent="0.25">
      <c r="A3" s="25" t="s">
        <v>226</v>
      </c>
      <c r="B3" s="26" t="s">
        <v>227</v>
      </c>
      <c r="C3" s="26" t="s">
        <v>228</v>
      </c>
      <c r="D3" s="26" t="s">
        <v>229</v>
      </c>
      <c r="E3" s="26" t="s">
        <v>230</v>
      </c>
      <c r="F3" s="26" t="s">
        <v>231</v>
      </c>
      <c r="G3" s="242" t="s">
        <v>232</v>
      </c>
      <c r="H3" s="243"/>
    </row>
    <row r="4" spans="1:9" x14ac:dyDescent="0.25">
      <c r="A4" s="96">
        <v>103</v>
      </c>
      <c r="B4" s="27" t="s">
        <v>233</v>
      </c>
      <c r="C4" s="28" t="s">
        <v>234</v>
      </c>
      <c r="D4" s="29" t="s">
        <v>89</v>
      </c>
      <c r="E4" s="30" t="s">
        <v>235</v>
      </c>
      <c r="F4" s="28" t="s">
        <v>236</v>
      </c>
      <c r="G4" s="239" t="s">
        <v>237</v>
      </c>
      <c r="H4" s="240"/>
      <c r="I4" t="s">
        <v>284</v>
      </c>
    </row>
    <row r="5" spans="1:9" x14ac:dyDescent="0.25">
      <c r="A5" s="97">
        <v>67</v>
      </c>
      <c r="B5" s="31" t="s">
        <v>238</v>
      </c>
      <c r="C5" s="32" t="s">
        <v>239</v>
      </c>
      <c r="D5" s="33" t="s">
        <v>54</v>
      </c>
      <c r="E5" s="30" t="s">
        <v>235</v>
      </c>
      <c r="F5" s="41" t="s">
        <v>264</v>
      </c>
      <c r="G5" s="239" t="s">
        <v>246</v>
      </c>
      <c r="H5" s="240"/>
      <c r="I5" s="74" t="s">
        <v>284</v>
      </c>
    </row>
    <row r="6" spans="1:9" x14ac:dyDescent="0.25">
      <c r="A6" s="97">
        <v>52</v>
      </c>
      <c r="B6" s="31" t="s">
        <v>241</v>
      </c>
      <c r="C6" s="32" t="s">
        <v>242</v>
      </c>
      <c r="D6" s="34" t="s">
        <v>40</v>
      </c>
      <c r="E6" s="30" t="s">
        <v>235</v>
      </c>
      <c r="F6" s="32" t="s">
        <v>243</v>
      </c>
      <c r="G6" s="239" t="s">
        <v>237</v>
      </c>
      <c r="H6" s="240"/>
    </row>
    <row r="7" spans="1:9" x14ac:dyDescent="0.25">
      <c r="A7" s="97">
        <v>57</v>
      </c>
      <c r="B7" s="31" t="s">
        <v>244</v>
      </c>
      <c r="C7" s="32" t="s">
        <v>245</v>
      </c>
      <c r="D7" s="33" t="s">
        <v>45</v>
      </c>
      <c r="E7" s="30" t="s">
        <v>235</v>
      </c>
      <c r="F7" s="32" t="s">
        <v>243</v>
      </c>
      <c r="G7" s="239" t="s">
        <v>246</v>
      </c>
      <c r="H7" s="240"/>
    </row>
    <row r="8" spans="1:9" x14ac:dyDescent="0.25">
      <c r="A8" s="97">
        <v>77</v>
      </c>
      <c r="B8" s="31" t="s">
        <v>247</v>
      </c>
      <c r="C8" s="32" t="s">
        <v>248</v>
      </c>
      <c r="D8" s="34" t="s">
        <v>20</v>
      </c>
      <c r="E8" s="30" t="s">
        <v>235</v>
      </c>
      <c r="F8" s="32" t="s">
        <v>249</v>
      </c>
      <c r="G8" s="239" t="s">
        <v>240</v>
      </c>
      <c r="H8" s="240"/>
      <c r="I8" s="74" t="s">
        <v>298</v>
      </c>
    </row>
    <row r="9" spans="1:9" x14ac:dyDescent="0.25">
      <c r="A9" s="97">
        <v>81</v>
      </c>
      <c r="B9" s="27" t="s">
        <v>250</v>
      </c>
      <c r="C9" s="28" t="s">
        <v>251</v>
      </c>
      <c r="D9" s="35" t="s">
        <v>67</v>
      </c>
      <c r="E9" s="30" t="s">
        <v>235</v>
      </c>
      <c r="F9" s="28" t="s">
        <v>249</v>
      </c>
      <c r="G9" s="244" t="s">
        <v>240</v>
      </c>
      <c r="H9" s="245"/>
    </row>
    <row r="10" spans="1:9" x14ac:dyDescent="0.25">
      <c r="A10" s="97">
        <v>18</v>
      </c>
      <c r="B10" s="36" t="s">
        <v>252</v>
      </c>
      <c r="C10" s="30" t="s">
        <v>253</v>
      </c>
      <c r="D10" s="34" t="s">
        <v>9</v>
      </c>
      <c r="E10" s="30" t="s">
        <v>235</v>
      </c>
      <c r="F10" s="32" t="s">
        <v>254</v>
      </c>
      <c r="G10" s="239" t="s">
        <v>255</v>
      </c>
      <c r="H10" s="240"/>
    </row>
    <row r="11" spans="1:9" x14ac:dyDescent="0.25">
      <c r="A11" s="97">
        <v>17</v>
      </c>
      <c r="B11" s="31" t="s">
        <v>256</v>
      </c>
      <c r="C11" s="32" t="s">
        <v>257</v>
      </c>
      <c r="D11" s="33" t="s">
        <v>8</v>
      </c>
      <c r="E11" s="30" t="s">
        <v>235</v>
      </c>
      <c r="F11" s="32" t="s">
        <v>254</v>
      </c>
      <c r="G11" s="239" t="s">
        <v>255</v>
      </c>
      <c r="H11" s="240"/>
    </row>
    <row r="12" spans="1:9" x14ac:dyDescent="0.25">
      <c r="A12" s="97">
        <v>23</v>
      </c>
      <c r="B12" s="31" t="s">
        <v>258</v>
      </c>
      <c r="C12" s="32" t="s">
        <v>259</v>
      </c>
      <c r="D12" s="33" t="s">
        <v>13</v>
      </c>
      <c r="E12" s="30" t="s">
        <v>235</v>
      </c>
      <c r="F12" s="32" t="s">
        <v>254</v>
      </c>
      <c r="G12" s="239" t="s">
        <v>255</v>
      </c>
      <c r="H12" s="240"/>
      <c r="I12" s="74" t="s">
        <v>284</v>
      </c>
    </row>
    <row r="13" spans="1:9" x14ac:dyDescent="0.25">
      <c r="A13" s="97">
        <v>92</v>
      </c>
      <c r="B13" s="37" t="s">
        <v>260</v>
      </c>
      <c r="C13" s="38" t="s">
        <v>261</v>
      </c>
      <c r="D13" s="39" t="s">
        <v>10</v>
      </c>
      <c r="E13" s="40" t="s">
        <v>235</v>
      </c>
      <c r="F13" s="38" t="s">
        <v>254</v>
      </c>
      <c r="G13" s="239" t="s">
        <v>255</v>
      </c>
      <c r="H13" s="240"/>
      <c r="I13" s="73" t="s">
        <v>297</v>
      </c>
    </row>
    <row r="14" spans="1:9" x14ac:dyDescent="0.25">
      <c r="A14" s="97">
        <v>66</v>
      </c>
      <c r="B14" s="31" t="s">
        <v>262</v>
      </c>
      <c r="C14" s="32" t="s">
        <v>263</v>
      </c>
      <c r="D14" s="33" t="s">
        <v>53</v>
      </c>
      <c r="E14" s="30" t="s">
        <v>235</v>
      </c>
      <c r="F14" s="41" t="s">
        <v>264</v>
      </c>
      <c r="G14" s="239" t="s">
        <v>265</v>
      </c>
      <c r="H14" s="240"/>
      <c r="I14" t="s">
        <v>414</v>
      </c>
    </row>
    <row r="15" spans="1:9" x14ac:dyDescent="0.25">
      <c r="A15" s="97">
        <v>69</v>
      </c>
      <c r="B15" s="31" t="s">
        <v>266</v>
      </c>
      <c r="C15" s="32" t="s">
        <v>267</v>
      </c>
      <c r="D15" s="34" t="s">
        <v>56</v>
      </c>
      <c r="E15" s="30" t="s">
        <v>235</v>
      </c>
      <c r="F15" s="41" t="s">
        <v>264</v>
      </c>
      <c r="G15" s="239" t="s">
        <v>246</v>
      </c>
      <c r="H15" s="240"/>
      <c r="I15" t="s">
        <v>426</v>
      </c>
    </row>
    <row r="16" spans="1:9" x14ac:dyDescent="0.25">
      <c r="A16" s="97">
        <v>35</v>
      </c>
      <c r="B16" s="31" t="s">
        <v>268</v>
      </c>
      <c r="C16" s="32" t="s">
        <v>269</v>
      </c>
      <c r="D16" s="34" t="s">
        <v>24</v>
      </c>
      <c r="E16" s="41" t="s">
        <v>270</v>
      </c>
      <c r="F16" s="32" t="s">
        <v>271</v>
      </c>
      <c r="G16" s="239" t="s">
        <v>246</v>
      </c>
      <c r="H16" s="240"/>
      <c r="I16" s="55" t="s">
        <v>284</v>
      </c>
    </row>
    <row r="17" spans="1:9" ht="15.75" thickBot="1" x14ac:dyDescent="0.3">
      <c r="A17" s="98">
        <v>36</v>
      </c>
      <c r="B17" s="42" t="s">
        <v>272</v>
      </c>
      <c r="C17" s="43" t="s">
        <v>273</v>
      </c>
      <c r="D17" s="44" t="s">
        <v>25</v>
      </c>
      <c r="E17" s="45" t="s">
        <v>235</v>
      </c>
      <c r="F17" s="43" t="s">
        <v>271</v>
      </c>
      <c r="G17" s="246" t="s">
        <v>237</v>
      </c>
      <c r="H17" s="247"/>
      <c r="I17" s="74" t="s">
        <v>425</v>
      </c>
    </row>
    <row r="18" spans="1:9" ht="15.75" thickTop="1" x14ac:dyDescent="0.25"/>
    <row r="19" spans="1:9" x14ac:dyDescent="0.25">
      <c r="B19" s="46"/>
      <c r="C19" s="248" t="s">
        <v>274</v>
      </c>
      <c r="D19" s="249"/>
      <c r="E19" s="250"/>
      <c r="F19" s="251" t="s">
        <v>275</v>
      </c>
      <c r="G19" s="252"/>
      <c r="H19" s="253"/>
    </row>
    <row r="20" spans="1:9" x14ac:dyDescent="0.25">
      <c r="B20" s="47" t="s">
        <v>276</v>
      </c>
      <c r="C20" s="48" t="s">
        <v>277</v>
      </c>
      <c r="D20" s="49" t="s">
        <v>278</v>
      </c>
      <c r="E20" s="50" t="s">
        <v>279</v>
      </c>
      <c r="F20" s="51">
        <v>0.25</v>
      </c>
      <c r="G20" s="52" t="s">
        <v>278</v>
      </c>
      <c r="H20" s="51">
        <v>0.28125</v>
      </c>
    </row>
    <row r="21" spans="1:9" x14ac:dyDescent="0.25">
      <c r="B21" s="46"/>
      <c r="C21" s="46"/>
      <c r="D21" s="46"/>
      <c r="E21" s="46"/>
      <c r="F21" s="46"/>
      <c r="G21" s="46"/>
      <c r="H21" s="46"/>
    </row>
    <row r="22" spans="1:9" ht="120" x14ac:dyDescent="0.25">
      <c r="B22" s="53" t="s">
        <v>280</v>
      </c>
    </row>
  </sheetData>
  <mergeCells count="18">
    <mergeCell ref="G14:H14"/>
    <mergeCell ref="G15:H15"/>
    <mergeCell ref="G16:H16"/>
    <mergeCell ref="G17:H17"/>
    <mergeCell ref="C19:E19"/>
    <mergeCell ref="F19:H19"/>
    <mergeCell ref="G13:H13"/>
    <mergeCell ref="A1:H1"/>
    <mergeCell ref="G3:H3"/>
    <mergeCell ref="G4:H4"/>
    <mergeCell ref="G5:H5"/>
    <mergeCell ref="G6:H6"/>
    <mergeCell ref="G7:H7"/>
    <mergeCell ref="G8:H8"/>
    <mergeCell ref="G9:H9"/>
    <mergeCell ref="G10:H10"/>
    <mergeCell ref="G11:H11"/>
    <mergeCell ref="G12:H12"/>
  </mergeCells>
  <conditionalFormatting sqref="B20:D20 I12:I13 I8 I5 A3:F17 I17">
    <cfRule type="expression" dxfId="0" priority="1" stopIfTrue="1">
      <formula>MOD(ROW(),2)&gt;0</formula>
    </cfRule>
  </conditionalFormatting>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Y36"/>
  <sheetViews>
    <sheetView showGridLines="0" topLeftCell="A16" workbookViewId="0">
      <selection activeCell="A33" sqref="A33"/>
    </sheetView>
  </sheetViews>
  <sheetFormatPr defaultRowHeight="15" x14ac:dyDescent="0.25"/>
  <cols>
    <col min="1" max="1" width="12.5703125" customWidth="1"/>
    <col min="2" max="2" width="23.5703125" customWidth="1"/>
    <col min="3" max="6" width="9.5703125" customWidth="1"/>
    <col min="9" max="9" width="19" customWidth="1"/>
    <col min="10" max="11" width="13.140625" customWidth="1"/>
    <col min="12" max="12" width="28.7109375" customWidth="1"/>
    <col min="13" max="13" width="17.42578125" customWidth="1"/>
    <col min="14" max="14" width="12.5703125" customWidth="1"/>
    <col min="15" max="37" width="11.42578125" customWidth="1"/>
  </cols>
  <sheetData>
    <row r="1" spans="1:51" x14ac:dyDescent="0.25">
      <c r="A1" t="s">
        <v>200</v>
      </c>
      <c r="B1" t="s">
        <v>201</v>
      </c>
      <c r="E1" t="s">
        <v>202</v>
      </c>
      <c r="F1" t="s">
        <v>204</v>
      </c>
      <c r="J1" s="150"/>
      <c r="K1" s="150"/>
      <c r="L1" s="150"/>
      <c r="M1" s="16"/>
      <c r="N1" s="76"/>
      <c r="P1" s="14">
        <v>43466</v>
      </c>
      <c r="R1" s="14">
        <v>43466</v>
      </c>
      <c r="S1" s="14">
        <v>43467</v>
      </c>
      <c r="T1" s="14">
        <v>43468</v>
      </c>
      <c r="U1" s="14">
        <v>43469</v>
      </c>
      <c r="V1" s="14">
        <v>43470</v>
      </c>
      <c r="W1" s="14">
        <v>43471</v>
      </c>
      <c r="X1" s="14">
        <v>43472</v>
      </c>
      <c r="Y1" s="14">
        <v>43473</v>
      </c>
      <c r="Z1" s="14">
        <v>43474</v>
      </c>
      <c r="AA1" s="14">
        <v>43475</v>
      </c>
      <c r="AB1" s="14">
        <v>43476</v>
      </c>
      <c r="AC1" s="14">
        <v>43477</v>
      </c>
      <c r="AD1" s="14">
        <v>43478</v>
      </c>
      <c r="AE1" s="14">
        <v>43479</v>
      </c>
      <c r="AF1" s="14">
        <v>43480</v>
      </c>
      <c r="AG1" s="14">
        <v>43481</v>
      </c>
      <c r="AH1" s="14">
        <v>43482</v>
      </c>
      <c r="AI1" s="14">
        <v>43483</v>
      </c>
      <c r="AJ1" s="14">
        <v>43484</v>
      </c>
      <c r="AK1" s="14">
        <v>43485</v>
      </c>
      <c r="AL1" s="14">
        <v>43486</v>
      </c>
      <c r="AM1" s="14">
        <v>43487</v>
      </c>
      <c r="AN1" s="14">
        <v>43488</v>
      </c>
      <c r="AO1" s="14">
        <v>43489</v>
      </c>
      <c r="AP1" s="14">
        <v>43490</v>
      </c>
      <c r="AQ1" s="14">
        <v>43491</v>
      </c>
      <c r="AR1" s="14">
        <v>43492</v>
      </c>
      <c r="AS1" s="14">
        <v>43493</v>
      </c>
      <c r="AT1" s="14">
        <v>43494</v>
      </c>
      <c r="AU1" s="14">
        <v>43495</v>
      </c>
      <c r="AV1" s="14">
        <v>43496</v>
      </c>
    </row>
    <row r="2" spans="1:51" x14ac:dyDescent="0.25">
      <c r="A2" s="92">
        <v>1</v>
      </c>
      <c r="B2" s="3" t="s">
        <v>96</v>
      </c>
      <c r="F2" t="str">
        <f ca="1">OFFSET(B2,0,0,COUNTA(B2:B24))</f>
        <v>Nguyễn Ba</v>
      </c>
      <c r="J2" s="150"/>
      <c r="K2" s="150"/>
      <c r="L2" s="150"/>
      <c r="M2" s="90"/>
      <c r="N2" s="75"/>
      <c r="P2" s="14">
        <v>43496</v>
      </c>
      <c r="R2" s="14">
        <v>43467</v>
      </c>
    </row>
    <row r="3" spans="1:51" x14ac:dyDescent="0.25">
      <c r="A3" s="93">
        <v>2</v>
      </c>
      <c r="B3" s="4" t="s">
        <v>97</v>
      </c>
      <c r="F3" t="str">
        <f t="shared" ref="F3:F9" ca="1" si="0">OFFSET(B3,0,0,COUNTA(B3:B25))</f>
        <v>Huỳnh Văn Sơn</v>
      </c>
      <c r="J3" s="150"/>
      <c r="K3" s="150"/>
      <c r="L3" s="150"/>
      <c r="M3" s="90"/>
      <c r="N3" s="75"/>
      <c r="R3" s="14">
        <v>43468</v>
      </c>
    </row>
    <row r="4" spans="1:51" x14ac:dyDescent="0.25">
      <c r="A4" s="93">
        <v>3</v>
      </c>
      <c r="B4" s="4" t="s">
        <v>98</v>
      </c>
      <c r="F4" t="str">
        <f t="shared" ca="1" si="0"/>
        <v>Huỳnh Tấn Tuấn</v>
      </c>
      <c r="J4" s="150"/>
      <c r="K4" s="150"/>
      <c r="L4" s="150"/>
      <c r="M4" s="90"/>
      <c r="N4" s="75"/>
      <c r="R4" s="14">
        <v>43469</v>
      </c>
    </row>
    <row r="5" spans="1:51" x14ac:dyDescent="0.25">
      <c r="A5" s="93">
        <v>4</v>
      </c>
      <c r="B5" s="4" t="s">
        <v>138</v>
      </c>
      <c r="F5" t="str">
        <f t="shared" ca="1" si="0"/>
        <v>Trương Đức Minh</v>
      </c>
      <c r="J5" s="150"/>
      <c r="K5" s="150"/>
      <c r="L5" s="150"/>
      <c r="M5" s="90"/>
      <c r="N5" s="75"/>
      <c r="R5" s="14">
        <v>43470</v>
      </c>
    </row>
    <row r="6" spans="1:51" x14ac:dyDescent="0.25">
      <c r="A6" s="93">
        <v>5</v>
      </c>
      <c r="B6" s="4" t="s">
        <v>99</v>
      </c>
      <c r="F6" t="str">
        <f t="shared" ca="1" si="0"/>
        <v>Bùi  Long Ẩn</v>
      </c>
      <c r="J6" s="150"/>
      <c r="K6" s="150"/>
      <c r="L6" s="150"/>
      <c r="M6" s="90"/>
      <c r="N6" s="75"/>
      <c r="R6" s="14">
        <v>43471</v>
      </c>
      <c r="U6" t="s">
        <v>302</v>
      </c>
    </row>
    <row r="7" spans="1:51" x14ac:dyDescent="0.25">
      <c r="A7" s="93">
        <v>6</v>
      </c>
      <c r="B7" s="4" t="s">
        <v>139</v>
      </c>
      <c r="F7" t="str">
        <f t="shared" ca="1" si="0"/>
        <v>Trương Thị Cẩm Phước</v>
      </c>
      <c r="J7" s="150"/>
      <c r="K7" s="150"/>
      <c r="L7" s="150"/>
      <c r="M7" s="90"/>
      <c r="N7" s="75"/>
      <c r="R7" s="14">
        <v>43472</v>
      </c>
    </row>
    <row r="8" spans="1:51" x14ac:dyDescent="0.25">
      <c r="A8" s="93">
        <v>7</v>
      </c>
      <c r="B8" s="4" t="s">
        <v>100</v>
      </c>
      <c r="F8" t="str">
        <f t="shared" ca="1" si="0"/>
        <v>Huỳnh Thanh Chiến</v>
      </c>
      <c r="J8" s="150"/>
      <c r="K8" s="150"/>
      <c r="L8" s="150"/>
      <c r="M8" s="90"/>
      <c r="N8" s="75"/>
      <c r="R8" s="14">
        <v>43473</v>
      </c>
      <c r="W8" s="14">
        <v>43831</v>
      </c>
      <c r="X8" s="14">
        <v>43832</v>
      </c>
      <c r="Y8" s="14">
        <v>43833</v>
      </c>
      <c r="Z8" s="14">
        <v>43834</v>
      </c>
      <c r="AA8" s="14">
        <v>43835</v>
      </c>
      <c r="AB8" s="14">
        <v>43836</v>
      </c>
      <c r="AC8" s="14">
        <v>43837</v>
      </c>
      <c r="AD8" s="14">
        <v>43838</v>
      </c>
      <c r="AE8" s="14">
        <v>43839</v>
      </c>
      <c r="AF8" s="14">
        <v>43840</v>
      </c>
      <c r="AG8" s="14">
        <v>43841</v>
      </c>
      <c r="AH8" s="14">
        <v>43842</v>
      </c>
      <c r="AI8" s="14">
        <v>43843</v>
      </c>
      <c r="AJ8" s="14">
        <v>43844</v>
      </c>
      <c r="AK8" s="14">
        <v>43845</v>
      </c>
      <c r="AL8" s="14">
        <v>43846</v>
      </c>
      <c r="AM8" s="14">
        <v>43847</v>
      </c>
      <c r="AN8" s="14">
        <v>43848</v>
      </c>
      <c r="AO8" s="14">
        <v>43849</v>
      </c>
      <c r="AP8" s="14">
        <v>43850</v>
      </c>
      <c r="AQ8" s="14">
        <v>43851</v>
      </c>
      <c r="AR8" s="14">
        <v>43852</v>
      </c>
      <c r="AS8" s="14">
        <v>43853</v>
      </c>
      <c r="AT8" s="14">
        <v>43854</v>
      </c>
      <c r="AU8" s="14">
        <v>43855</v>
      </c>
      <c r="AV8" s="14">
        <v>43856</v>
      </c>
      <c r="AW8" s="14">
        <v>43857</v>
      </c>
      <c r="AX8" s="14">
        <v>43858</v>
      </c>
      <c r="AY8" s="14">
        <v>43859</v>
      </c>
    </row>
    <row r="9" spans="1:51" x14ac:dyDescent="0.25">
      <c r="A9" s="94">
        <v>8</v>
      </c>
      <c r="B9" s="5" t="s">
        <v>161</v>
      </c>
      <c r="F9" t="str">
        <f t="shared" ca="1" si="0"/>
        <v>Nguyễn Thị Vũ Linh</v>
      </c>
      <c r="J9" s="150"/>
      <c r="K9" s="150"/>
      <c r="L9" s="150"/>
      <c r="M9" s="90"/>
      <c r="N9" s="75"/>
      <c r="R9" s="14">
        <v>43474</v>
      </c>
    </row>
    <row r="10" spans="1:51" x14ac:dyDescent="0.25">
      <c r="A10" s="95">
        <v>9</v>
      </c>
      <c r="B10" s="7" t="s">
        <v>203</v>
      </c>
      <c r="J10" s="150"/>
      <c r="K10" s="150"/>
      <c r="L10" s="150"/>
      <c r="M10" s="90"/>
      <c r="N10" s="75"/>
      <c r="R10" s="14">
        <v>43475</v>
      </c>
    </row>
    <row r="11" spans="1:51" x14ac:dyDescent="0.25">
      <c r="A11" s="95">
        <v>10</v>
      </c>
      <c r="B11" s="7" t="s">
        <v>204</v>
      </c>
      <c r="J11" s="150"/>
      <c r="K11" s="150"/>
      <c r="L11" s="150"/>
      <c r="M11" s="90"/>
      <c r="N11" s="75"/>
      <c r="R11" s="14">
        <v>43476</v>
      </c>
    </row>
    <row r="12" spans="1:51" x14ac:dyDescent="0.25">
      <c r="A12" s="6"/>
      <c r="B12" s="7" t="s">
        <v>205</v>
      </c>
      <c r="J12" s="150"/>
      <c r="K12" s="150"/>
      <c r="L12" s="150"/>
      <c r="M12" s="90"/>
      <c r="N12" s="75"/>
      <c r="R12" s="14">
        <v>43477</v>
      </c>
    </row>
    <row r="13" spans="1:51" x14ac:dyDescent="0.25">
      <c r="A13" s="6"/>
      <c r="B13" s="7" t="s">
        <v>281</v>
      </c>
      <c r="J13" s="150"/>
      <c r="K13" s="150"/>
      <c r="L13" s="150"/>
      <c r="M13" s="90"/>
      <c r="N13" s="75"/>
      <c r="R13" s="14">
        <v>43478</v>
      </c>
    </row>
    <row r="14" spans="1:51" x14ac:dyDescent="0.25">
      <c r="A14" s="6"/>
      <c r="B14" s="7"/>
      <c r="F14" s="54" t="s">
        <v>283</v>
      </c>
      <c r="J14" s="150"/>
      <c r="K14" s="150"/>
      <c r="L14" s="150"/>
      <c r="M14" s="90"/>
      <c r="N14" s="75"/>
      <c r="R14" s="14">
        <v>43479</v>
      </c>
    </row>
    <row r="15" spans="1:51" x14ac:dyDescent="0.25">
      <c r="A15" s="6"/>
      <c r="B15" s="7"/>
      <c r="J15" s="150"/>
      <c r="K15" s="150"/>
      <c r="L15" s="150"/>
      <c r="M15" s="90"/>
      <c r="N15" s="75"/>
      <c r="R15" s="14">
        <v>43480</v>
      </c>
    </row>
    <row r="16" spans="1:51" x14ac:dyDescent="0.25">
      <c r="A16" s="6"/>
      <c r="B16" s="7"/>
      <c r="J16" s="150"/>
      <c r="K16" s="150"/>
      <c r="L16" s="150"/>
      <c r="M16" s="90"/>
      <c r="R16" s="14">
        <v>43481</v>
      </c>
    </row>
    <row r="17" spans="1:18" x14ac:dyDescent="0.25">
      <c r="A17" s="6"/>
      <c r="B17" s="7"/>
      <c r="J17" s="150"/>
      <c r="K17" s="150"/>
      <c r="L17" s="150"/>
      <c r="R17" s="14">
        <v>43482</v>
      </c>
    </row>
    <row r="18" spans="1:18" x14ac:dyDescent="0.25">
      <c r="A18" s="6"/>
      <c r="B18" s="7"/>
      <c r="J18" s="150"/>
      <c r="K18" s="150"/>
      <c r="L18" s="150"/>
      <c r="M18" s="79"/>
      <c r="R18" s="14">
        <v>43483</v>
      </c>
    </row>
    <row r="19" spans="1:18" x14ac:dyDescent="0.25">
      <c r="A19" s="6"/>
      <c r="B19" s="7"/>
      <c r="R19" s="14">
        <v>43484</v>
      </c>
    </row>
    <row r="20" spans="1:18" x14ac:dyDescent="0.25">
      <c r="A20" s="6"/>
      <c r="B20" s="7"/>
      <c r="R20" s="14">
        <v>43485</v>
      </c>
    </row>
    <row r="21" spans="1:18" ht="20.25" x14ac:dyDescent="0.3">
      <c r="A21" s="6"/>
      <c r="B21" s="7"/>
      <c r="J21" s="78">
        <f ca="1">TODAY()</f>
        <v>44081</v>
      </c>
      <c r="K21" s="81">
        <v>0.6896296296296297</v>
      </c>
      <c r="L21" s="101">
        <v>0.41925925925925928</v>
      </c>
      <c r="Q21" s="81">
        <v>0.4319560185185185</v>
      </c>
      <c r="R21" s="14">
        <v>43486</v>
      </c>
    </row>
    <row r="22" spans="1:18" x14ac:dyDescent="0.25">
      <c r="A22" s="6"/>
      <c r="B22" s="7" t="s">
        <v>281</v>
      </c>
      <c r="R22" s="14">
        <v>43487</v>
      </c>
    </row>
    <row r="23" spans="1:18" x14ac:dyDescent="0.25">
      <c r="A23" s="6"/>
      <c r="B23" s="7"/>
      <c r="I23" s="254" t="s">
        <v>303</v>
      </c>
      <c r="J23" s="255"/>
      <c r="L23" s="80" t="s">
        <v>307</v>
      </c>
      <c r="M23" s="80" t="s">
        <v>305</v>
      </c>
      <c r="O23" s="80" t="s">
        <v>308</v>
      </c>
      <c r="R23" s="14">
        <v>43488</v>
      </c>
    </row>
    <row r="24" spans="1:18" x14ac:dyDescent="0.25">
      <c r="A24" s="8"/>
      <c r="B24" s="9" t="s">
        <v>402</v>
      </c>
      <c r="I24" t="s">
        <v>304</v>
      </c>
      <c r="J24" t="s">
        <v>306</v>
      </c>
      <c r="L24" s="82">
        <v>10</v>
      </c>
      <c r="M24" s="82">
        <v>10</v>
      </c>
      <c r="O24" s="82">
        <f>Details!Y12</f>
        <v>1</v>
      </c>
      <c r="R24" s="14">
        <v>43489</v>
      </c>
    </row>
    <row r="25" spans="1:18" x14ac:dyDescent="0.25">
      <c r="J25" s="82">
        <v>10</v>
      </c>
      <c r="L25" s="82">
        <v>20</v>
      </c>
      <c r="M25" s="82">
        <v>10</v>
      </c>
      <c r="O25" s="82">
        <v>1</v>
      </c>
      <c r="R25" s="14">
        <v>43490</v>
      </c>
    </row>
    <row r="26" spans="1:18" x14ac:dyDescent="0.25">
      <c r="J26" s="82">
        <v>20</v>
      </c>
      <c r="L26" s="82">
        <v>30</v>
      </c>
      <c r="M26" s="82">
        <v>10</v>
      </c>
      <c r="O26" s="82">
        <f>200-(O25+O24)</f>
        <v>198</v>
      </c>
      <c r="R26" s="14">
        <v>43491</v>
      </c>
    </row>
    <row r="27" spans="1:18" x14ac:dyDescent="0.25">
      <c r="J27" s="82">
        <v>30</v>
      </c>
      <c r="L27" s="82">
        <v>40</v>
      </c>
      <c r="M27" s="82">
        <v>10</v>
      </c>
      <c r="R27" s="14">
        <v>43492</v>
      </c>
    </row>
    <row r="28" spans="1:18" x14ac:dyDescent="0.25">
      <c r="J28" s="82">
        <v>60</v>
      </c>
      <c r="L28" s="82">
        <v>50</v>
      </c>
      <c r="M28" s="82">
        <v>10</v>
      </c>
      <c r="R28" s="14">
        <v>43493</v>
      </c>
    </row>
    <row r="29" spans="1:18" x14ac:dyDescent="0.25">
      <c r="A29" s="83" t="s">
        <v>321</v>
      </c>
      <c r="J29" s="82">
        <v>80</v>
      </c>
      <c r="L29" s="82">
        <v>60</v>
      </c>
      <c r="M29" s="82">
        <v>10</v>
      </c>
      <c r="R29" s="14">
        <v>43494</v>
      </c>
    </row>
    <row r="30" spans="1:18" x14ac:dyDescent="0.25">
      <c r="A30" t="s">
        <v>419</v>
      </c>
      <c r="B30" t="s">
        <v>420</v>
      </c>
      <c r="L30" s="82">
        <v>70</v>
      </c>
      <c r="M30" s="82">
        <v>10</v>
      </c>
      <c r="R30" s="14">
        <v>43495</v>
      </c>
    </row>
    <row r="31" spans="1:18" x14ac:dyDescent="0.25">
      <c r="A31" s="91">
        <v>15.563829200000001</v>
      </c>
      <c r="B31" t="s">
        <v>322</v>
      </c>
      <c r="C31" t="s">
        <v>324</v>
      </c>
      <c r="L31" s="82">
        <v>80</v>
      </c>
      <c r="M31" s="82">
        <v>10</v>
      </c>
      <c r="R31" s="14">
        <v>43496</v>
      </c>
    </row>
    <row r="32" spans="1:18" x14ac:dyDescent="0.25">
      <c r="A32" s="91">
        <v>108.48216770000001</v>
      </c>
      <c r="B32" t="s">
        <v>323</v>
      </c>
      <c r="C32" t="s">
        <v>325</v>
      </c>
      <c r="L32" s="82">
        <v>90</v>
      </c>
      <c r="M32" s="82">
        <v>10</v>
      </c>
    </row>
    <row r="33" spans="1:13" x14ac:dyDescent="0.25">
      <c r="A33" s="84">
        <v>32.4</v>
      </c>
      <c r="B33" s="84" t="str">
        <f>CHAR(176)&amp; "C"</f>
        <v>°C</v>
      </c>
      <c r="L33" s="82">
        <v>100</v>
      </c>
      <c r="M33" s="82">
        <v>10</v>
      </c>
    </row>
    <row r="34" spans="1:13" x14ac:dyDescent="0.25">
      <c r="L34" s="82">
        <v>110</v>
      </c>
      <c r="M34" s="82">
        <v>10</v>
      </c>
    </row>
    <row r="35" spans="1:13" x14ac:dyDescent="0.25">
      <c r="L35" s="82">
        <v>120</v>
      </c>
      <c r="M35" s="82">
        <v>10</v>
      </c>
    </row>
    <row r="36" spans="1:13" x14ac:dyDescent="0.25">
      <c r="L36" s="82">
        <v>200</v>
      </c>
      <c r="M36" s="82">
        <v>80</v>
      </c>
    </row>
  </sheetData>
  <mergeCells count="1">
    <mergeCell ref="I23:J23"/>
  </mergeCells>
  <dataValidations count="1">
    <dataValidation type="list" allowBlank="1" showInputMessage="1" showErrorMessage="1" sqref="F1">
      <formula1>OFFSET(B2,0,0,COUNTA(B2:B24))</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391"/>
  <sheetViews>
    <sheetView tabSelected="1" workbookViewId="0">
      <selection activeCell="B11" sqref="B11"/>
    </sheetView>
  </sheetViews>
  <sheetFormatPr defaultRowHeight="15" x14ac:dyDescent="0.25"/>
  <cols>
    <col min="1" max="1" width="9.140625" style="82"/>
    <col min="2" max="2" width="16" customWidth="1"/>
    <col min="3" max="3" width="10.85546875" customWidth="1"/>
    <col min="4" max="4" width="14.5703125" style="82" customWidth="1"/>
    <col min="5" max="5" width="10.7109375" customWidth="1"/>
    <col min="6" max="6" width="14.28515625" customWidth="1"/>
    <col min="7" max="7" width="13.42578125" customWidth="1"/>
    <col min="8" max="8" width="16.5703125" customWidth="1"/>
    <col min="9" max="9" width="12.85546875" style="82" customWidth="1"/>
  </cols>
  <sheetData>
    <row r="1" spans="1:9" x14ac:dyDescent="0.25">
      <c r="A1" t="s">
        <v>312</v>
      </c>
      <c r="B1" t="s">
        <v>313</v>
      </c>
      <c r="C1" t="s">
        <v>314</v>
      </c>
      <c r="D1" t="s">
        <v>315</v>
      </c>
      <c r="E1" t="s">
        <v>316</v>
      </c>
      <c r="F1" t="s">
        <v>317</v>
      </c>
      <c r="G1" t="s">
        <v>318</v>
      </c>
      <c r="H1" t="s">
        <v>319</v>
      </c>
      <c r="I1" t="s">
        <v>320</v>
      </c>
    </row>
    <row r="2" spans="1:9" x14ac:dyDescent="0.25">
      <c r="A2">
        <v>544</v>
      </c>
      <c r="B2" s="14">
        <v>44078.286238425928</v>
      </c>
      <c r="C2" t="s">
        <v>424</v>
      </c>
      <c r="D2">
        <v>1</v>
      </c>
      <c r="E2" t="s">
        <v>421</v>
      </c>
      <c r="G2" t="s">
        <v>422</v>
      </c>
      <c r="H2" t="s">
        <v>423</v>
      </c>
      <c r="I2">
        <v>0</v>
      </c>
    </row>
    <row r="3" spans="1:9" x14ac:dyDescent="0.25">
      <c r="A3">
        <v>525</v>
      </c>
      <c r="B3" s="14">
        <v>44078.287905092591</v>
      </c>
      <c r="C3" t="s">
        <v>424</v>
      </c>
      <c r="D3">
        <v>1</v>
      </c>
      <c r="E3" t="s">
        <v>421</v>
      </c>
      <c r="G3" t="s">
        <v>422</v>
      </c>
      <c r="H3" t="s">
        <v>423</v>
      </c>
      <c r="I3">
        <v>0</v>
      </c>
    </row>
    <row r="4" spans="1:9" x14ac:dyDescent="0.25">
      <c r="A4"/>
      <c r="D4"/>
      <c r="I4"/>
    </row>
    <row r="5" spans="1:9" x14ac:dyDescent="0.25">
      <c r="A5"/>
      <c r="D5"/>
      <c r="I5"/>
    </row>
    <row r="6" spans="1:9" x14ac:dyDescent="0.25">
      <c r="A6"/>
      <c r="D6"/>
      <c r="I6"/>
    </row>
    <row r="7" spans="1:9" x14ac:dyDescent="0.25">
      <c r="A7"/>
      <c r="D7"/>
      <c r="I7"/>
    </row>
    <row r="8" spans="1:9" x14ac:dyDescent="0.25">
      <c r="A8"/>
      <c r="D8"/>
      <c r="I8"/>
    </row>
    <row r="9" spans="1:9" x14ac:dyDescent="0.25">
      <c r="A9"/>
      <c r="D9"/>
      <c r="I9"/>
    </row>
    <row r="10" spans="1:9" x14ac:dyDescent="0.25">
      <c r="A10"/>
      <c r="D10"/>
      <c r="I10"/>
    </row>
    <row r="11" spans="1:9" x14ac:dyDescent="0.25">
      <c r="A11"/>
      <c r="D11"/>
      <c r="I11"/>
    </row>
    <row r="12" spans="1:9" x14ac:dyDescent="0.25">
      <c r="A12"/>
      <c r="D12"/>
      <c r="I12"/>
    </row>
    <row r="13" spans="1:9" x14ac:dyDescent="0.25">
      <c r="A13"/>
      <c r="D13"/>
      <c r="I13"/>
    </row>
    <row r="14" spans="1:9" x14ac:dyDescent="0.25">
      <c r="A14"/>
      <c r="D14"/>
      <c r="I14"/>
    </row>
    <row r="15" spans="1:9" x14ac:dyDescent="0.25">
      <c r="A15"/>
      <c r="D15"/>
      <c r="I15"/>
    </row>
    <row r="16" spans="1:9" x14ac:dyDescent="0.25">
      <c r="A16"/>
      <c r="D16"/>
      <c r="I16"/>
    </row>
    <row r="17" spans="1:9" x14ac:dyDescent="0.25">
      <c r="A17"/>
      <c r="D17"/>
      <c r="I17"/>
    </row>
    <row r="18" spans="1:9" x14ac:dyDescent="0.25">
      <c r="A18"/>
      <c r="D18"/>
      <c r="I18"/>
    </row>
    <row r="19" spans="1:9" x14ac:dyDescent="0.25">
      <c r="A19"/>
      <c r="D19"/>
      <c r="I19"/>
    </row>
    <row r="20" spans="1:9" x14ac:dyDescent="0.25">
      <c r="A20"/>
      <c r="D20"/>
      <c r="I20"/>
    </row>
    <row r="21" spans="1:9" x14ac:dyDescent="0.25">
      <c r="A21"/>
      <c r="D21"/>
      <c r="I21"/>
    </row>
    <row r="22" spans="1:9" x14ac:dyDescent="0.25">
      <c r="A22"/>
      <c r="D22"/>
      <c r="I22"/>
    </row>
    <row r="23" spans="1:9" x14ac:dyDescent="0.25">
      <c r="A23"/>
      <c r="D23"/>
      <c r="I23"/>
    </row>
    <row r="24" spans="1:9" x14ac:dyDescent="0.25">
      <c r="A24"/>
      <c r="D24"/>
      <c r="I24"/>
    </row>
    <row r="25" spans="1:9" x14ac:dyDescent="0.25">
      <c r="A25"/>
      <c r="D25"/>
      <c r="I25"/>
    </row>
    <row r="26" spans="1:9" x14ac:dyDescent="0.25">
      <c r="A26"/>
      <c r="D26"/>
      <c r="I26"/>
    </row>
    <row r="27" spans="1:9" x14ac:dyDescent="0.25">
      <c r="A27"/>
      <c r="D27"/>
      <c r="I27"/>
    </row>
    <row r="28" spans="1:9" x14ac:dyDescent="0.25">
      <c r="A28"/>
      <c r="D28"/>
      <c r="I28"/>
    </row>
    <row r="29" spans="1:9" x14ac:dyDescent="0.25">
      <c r="A29"/>
      <c r="D29"/>
      <c r="I29"/>
    </row>
    <row r="30" spans="1:9" x14ac:dyDescent="0.25">
      <c r="A30"/>
      <c r="D30"/>
      <c r="I30"/>
    </row>
    <row r="31" spans="1:9" x14ac:dyDescent="0.25">
      <c r="A31"/>
      <c r="D31"/>
      <c r="I31"/>
    </row>
    <row r="32" spans="1:9" x14ac:dyDescent="0.25">
      <c r="A32"/>
      <c r="D32"/>
      <c r="I32"/>
    </row>
    <row r="33" spans="1:9" x14ac:dyDescent="0.25">
      <c r="A33"/>
      <c r="D33"/>
      <c r="I33"/>
    </row>
    <row r="34" spans="1:9" x14ac:dyDescent="0.25">
      <c r="A34"/>
      <c r="D34"/>
      <c r="I34"/>
    </row>
    <row r="35" spans="1:9" x14ac:dyDescent="0.25">
      <c r="A35"/>
      <c r="D35"/>
      <c r="I35"/>
    </row>
    <row r="36" spans="1:9" x14ac:dyDescent="0.25">
      <c r="A36"/>
      <c r="D36"/>
      <c r="I36"/>
    </row>
    <row r="37" spans="1:9" x14ac:dyDescent="0.25">
      <c r="A37"/>
      <c r="D37"/>
      <c r="I37"/>
    </row>
    <row r="38" spans="1:9" x14ac:dyDescent="0.25">
      <c r="A38"/>
      <c r="D38"/>
      <c r="I38"/>
    </row>
    <row r="39" spans="1:9" x14ac:dyDescent="0.25">
      <c r="A39"/>
      <c r="D39"/>
      <c r="I39"/>
    </row>
    <row r="40" spans="1:9" x14ac:dyDescent="0.25">
      <c r="A40"/>
      <c r="D40"/>
      <c r="I40"/>
    </row>
    <row r="41" spans="1:9" x14ac:dyDescent="0.25">
      <c r="A41"/>
      <c r="D41"/>
      <c r="I41"/>
    </row>
    <row r="42" spans="1:9" x14ac:dyDescent="0.25">
      <c r="A42"/>
      <c r="D42"/>
      <c r="I42"/>
    </row>
    <row r="43" spans="1:9" x14ac:dyDescent="0.25">
      <c r="A43"/>
      <c r="D43"/>
      <c r="I43"/>
    </row>
    <row r="44" spans="1:9" x14ac:dyDescent="0.25">
      <c r="A44"/>
      <c r="D44"/>
      <c r="I44"/>
    </row>
    <row r="45" spans="1:9" x14ac:dyDescent="0.25">
      <c r="A45"/>
      <c r="D45"/>
      <c r="I45"/>
    </row>
    <row r="46" spans="1:9" x14ac:dyDescent="0.25">
      <c r="A46"/>
      <c r="D46"/>
      <c r="I46"/>
    </row>
    <row r="47" spans="1:9" x14ac:dyDescent="0.25">
      <c r="A47"/>
      <c r="D47"/>
      <c r="I47"/>
    </row>
    <row r="48" spans="1:9" x14ac:dyDescent="0.25">
      <c r="A48"/>
      <c r="D48"/>
      <c r="I48"/>
    </row>
    <row r="49" spans="1:9" x14ac:dyDescent="0.25">
      <c r="A49"/>
      <c r="D49"/>
      <c r="I49"/>
    </row>
    <row r="50" spans="1:9" x14ac:dyDescent="0.25">
      <c r="A50"/>
      <c r="D50"/>
      <c r="I50"/>
    </row>
    <row r="51" spans="1:9" x14ac:dyDescent="0.25">
      <c r="A51"/>
      <c r="D51"/>
      <c r="I51"/>
    </row>
    <row r="52" spans="1:9" x14ac:dyDescent="0.25">
      <c r="A52"/>
      <c r="D52"/>
      <c r="I52"/>
    </row>
    <row r="53" spans="1:9" x14ac:dyDescent="0.25">
      <c r="A53"/>
      <c r="D53"/>
      <c r="I53"/>
    </row>
    <row r="54" spans="1:9" x14ac:dyDescent="0.25">
      <c r="A54"/>
      <c r="D54"/>
      <c r="I54"/>
    </row>
    <row r="55" spans="1:9" x14ac:dyDescent="0.25">
      <c r="A55"/>
      <c r="D55"/>
      <c r="I55"/>
    </row>
    <row r="56" spans="1:9" x14ac:dyDescent="0.25">
      <c r="A56"/>
      <c r="D56"/>
      <c r="I56"/>
    </row>
    <row r="57" spans="1:9" x14ac:dyDescent="0.25">
      <c r="A57"/>
      <c r="D57"/>
      <c r="I57"/>
    </row>
    <row r="58" spans="1:9" x14ac:dyDescent="0.25">
      <c r="A58"/>
      <c r="D58"/>
      <c r="I58"/>
    </row>
    <row r="59" spans="1:9" x14ac:dyDescent="0.25">
      <c r="A59"/>
      <c r="D59"/>
      <c r="I59"/>
    </row>
    <row r="60" spans="1:9" x14ac:dyDescent="0.25">
      <c r="A60"/>
      <c r="D60"/>
      <c r="I60"/>
    </row>
    <row r="61" spans="1:9" x14ac:dyDescent="0.25">
      <c r="A61"/>
      <c r="D61"/>
      <c r="I61"/>
    </row>
    <row r="62" spans="1:9" x14ac:dyDescent="0.25">
      <c r="A62"/>
      <c r="D62"/>
      <c r="I62"/>
    </row>
    <row r="63" spans="1:9" x14ac:dyDescent="0.25">
      <c r="A63"/>
      <c r="D63"/>
      <c r="I63"/>
    </row>
    <row r="64" spans="1:9" x14ac:dyDescent="0.25">
      <c r="A64"/>
      <c r="D64"/>
      <c r="I64"/>
    </row>
    <row r="65" spans="1:9" x14ac:dyDescent="0.25">
      <c r="A65"/>
      <c r="D65"/>
      <c r="I65"/>
    </row>
    <row r="66" spans="1:9" x14ac:dyDescent="0.25">
      <c r="A66"/>
      <c r="D66"/>
      <c r="I66"/>
    </row>
    <row r="67" spans="1:9" x14ac:dyDescent="0.25">
      <c r="A67"/>
      <c r="D67"/>
      <c r="I67"/>
    </row>
    <row r="68" spans="1:9" x14ac:dyDescent="0.25">
      <c r="A68"/>
      <c r="D68"/>
      <c r="I68"/>
    </row>
    <row r="69" spans="1:9" x14ac:dyDescent="0.25">
      <c r="A69"/>
      <c r="D69"/>
      <c r="I69"/>
    </row>
    <row r="70" spans="1:9" x14ac:dyDescent="0.25">
      <c r="A70"/>
      <c r="D70"/>
      <c r="I70"/>
    </row>
    <row r="71" spans="1:9" x14ac:dyDescent="0.25">
      <c r="A71"/>
      <c r="D71"/>
      <c r="I71"/>
    </row>
    <row r="72" spans="1:9" x14ac:dyDescent="0.25">
      <c r="A72"/>
      <c r="D72"/>
      <c r="I72"/>
    </row>
    <row r="73" spans="1:9" x14ac:dyDescent="0.25">
      <c r="A73"/>
      <c r="D73"/>
      <c r="I73"/>
    </row>
    <row r="74" spans="1:9" x14ac:dyDescent="0.25">
      <c r="A74"/>
      <c r="D74"/>
      <c r="I74"/>
    </row>
    <row r="75" spans="1:9" x14ac:dyDescent="0.25">
      <c r="A75"/>
      <c r="D75"/>
      <c r="I75"/>
    </row>
    <row r="76" spans="1:9" x14ac:dyDescent="0.25">
      <c r="A76"/>
      <c r="D76"/>
      <c r="I76"/>
    </row>
    <row r="77" spans="1:9" x14ac:dyDescent="0.25">
      <c r="A77"/>
      <c r="D77"/>
      <c r="I77"/>
    </row>
    <row r="78" spans="1:9" x14ac:dyDescent="0.25">
      <c r="A78"/>
      <c r="D78"/>
      <c r="I78"/>
    </row>
    <row r="79" spans="1:9" x14ac:dyDescent="0.25">
      <c r="A79"/>
      <c r="D79"/>
      <c r="I79"/>
    </row>
    <row r="80" spans="1:9" x14ac:dyDescent="0.25">
      <c r="A80"/>
      <c r="D80"/>
      <c r="I80"/>
    </row>
    <row r="81" spans="1:9" x14ac:dyDescent="0.25">
      <c r="A81"/>
      <c r="D81"/>
      <c r="I81"/>
    </row>
    <row r="82" spans="1:9" x14ac:dyDescent="0.25">
      <c r="A82"/>
      <c r="D82"/>
      <c r="I82"/>
    </row>
    <row r="83" spans="1:9" x14ac:dyDescent="0.25">
      <c r="A83"/>
      <c r="D83"/>
      <c r="I83"/>
    </row>
    <row r="84" spans="1:9" x14ac:dyDescent="0.25">
      <c r="A84"/>
      <c r="D84"/>
      <c r="I84"/>
    </row>
    <row r="85" spans="1:9" x14ac:dyDescent="0.25">
      <c r="A85"/>
      <c r="D85"/>
      <c r="I85"/>
    </row>
    <row r="86" spans="1:9" x14ac:dyDescent="0.25">
      <c r="A86"/>
      <c r="D86"/>
      <c r="I86"/>
    </row>
    <row r="87" spans="1:9" x14ac:dyDescent="0.25">
      <c r="A87"/>
      <c r="D87"/>
      <c r="I87"/>
    </row>
    <row r="88" spans="1:9" x14ac:dyDescent="0.25">
      <c r="A88"/>
      <c r="D88"/>
      <c r="I88"/>
    </row>
    <row r="89" spans="1:9" x14ac:dyDescent="0.25">
      <c r="A89"/>
      <c r="D89"/>
      <c r="I89"/>
    </row>
    <row r="90" spans="1:9" x14ac:dyDescent="0.25">
      <c r="A90"/>
      <c r="D90"/>
      <c r="I90"/>
    </row>
    <row r="91" spans="1:9" x14ac:dyDescent="0.25">
      <c r="A91"/>
      <c r="D91"/>
      <c r="I91"/>
    </row>
    <row r="92" spans="1:9" x14ac:dyDescent="0.25">
      <c r="A92"/>
      <c r="D92"/>
      <c r="I92"/>
    </row>
    <row r="93" spans="1:9" x14ac:dyDescent="0.25">
      <c r="A93"/>
      <c r="D93"/>
      <c r="I93"/>
    </row>
    <row r="94" spans="1:9" x14ac:dyDescent="0.25">
      <c r="A94"/>
      <c r="D94"/>
      <c r="I94"/>
    </row>
    <row r="95" spans="1:9" x14ac:dyDescent="0.25">
      <c r="A95"/>
      <c r="D95"/>
      <c r="I95"/>
    </row>
    <row r="96" spans="1:9" x14ac:dyDescent="0.25">
      <c r="A96"/>
      <c r="D96"/>
      <c r="I96"/>
    </row>
    <row r="97" spans="1:9" x14ac:dyDescent="0.25">
      <c r="A97"/>
      <c r="D97"/>
      <c r="I97"/>
    </row>
    <row r="98" spans="1:9" x14ac:dyDescent="0.25">
      <c r="A98"/>
      <c r="D98"/>
      <c r="I98"/>
    </row>
    <row r="99" spans="1:9" x14ac:dyDescent="0.25">
      <c r="A99"/>
      <c r="D99"/>
      <c r="I99"/>
    </row>
    <row r="100" spans="1:9" x14ac:dyDescent="0.25">
      <c r="A100"/>
      <c r="D100"/>
      <c r="I100"/>
    </row>
    <row r="101" spans="1:9" x14ac:dyDescent="0.25">
      <c r="A101"/>
      <c r="D101"/>
      <c r="I101"/>
    </row>
    <row r="102" spans="1:9" x14ac:dyDescent="0.25">
      <c r="A102"/>
      <c r="D102"/>
      <c r="I102"/>
    </row>
    <row r="103" spans="1:9" x14ac:dyDescent="0.25">
      <c r="A103"/>
      <c r="D103"/>
      <c r="I103"/>
    </row>
    <row r="104" spans="1:9" x14ac:dyDescent="0.25">
      <c r="A104"/>
      <c r="D104"/>
      <c r="I104"/>
    </row>
    <row r="105" spans="1:9" x14ac:dyDescent="0.25">
      <c r="A105"/>
      <c r="D105"/>
      <c r="I105"/>
    </row>
    <row r="106" spans="1:9" x14ac:dyDescent="0.25">
      <c r="A106"/>
      <c r="D106"/>
      <c r="I106"/>
    </row>
    <row r="107" spans="1:9" x14ac:dyDescent="0.25">
      <c r="A107"/>
      <c r="D107"/>
      <c r="I107"/>
    </row>
    <row r="108" spans="1:9" x14ac:dyDescent="0.25">
      <c r="A108"/>
      <c r="D108"/>
      <c r="I108"/>
    </row>
    <row r="109" spans="1:9" x14ac:dyDescent="0.25">
      <c r="A109"/>
      <c r="D109"/>
      <c r="I109"/>
    </row>
    <row r="110" spans="1:9" x14ac:dyDescent="0.25">
      <c r="A110"/>
      <c r="D110"/>
      <c r="I110"/>
    </row>
    <row r="111" spans="1:9" x14ac:dyDescent="0.25">
      <c r="A111"/>
      <c r="D111"/>
      <c r="I111"/>
    </row>
    <row r="112" spans="1:9" x14ac:dyDescent="0.25">
      <c r="A112"/>
      <c r="D112"/>
      <c r="I112"/>
    </row>
    <row r="113" spans="1:9" x14ac:dyDescent="0.25">
      <c r="A113"/>
      <c r="D113"/>
      <c r="I113"/>
    </row>
    <row r="114" spans="1:9" x14ac:dyDescent="0.25">
      <c r="A114"/>
      <c r="D114"/>
      <c r="I114"/>
    </row>
    <row r="115" spans="1:9" x14ac:dyDescent="0.25">
      <c r="A115"/>
      <c r="D115"/>
      <c r="I115"/>
    </row>
    <row r="116" spans="1:9" x14ac:dyDescent="0.25">
      <c r="A116"/>
      <c r="D116"/>
      <c r="I116"/>
    </row>
    <row r="117" spans="1:9" x14ac:dyDescent="0.25">
      <c r="A117"/>
      <c r="D117"/>
      <c r="I117"/>
    </row>
    <row r="118" spans="1:9" x14ac:dyDescent="0.25">
      <c r="A118"/>
      <c r="D118"/>
      <c r="I118"/>
    </row>
    <row r="119" spans="1:9" x14ac:dyDescent="0.25">
      <c r="A119"/>
      <c r="D119"/>
      <c r="I119"/>
    </row>
    <row r="120" spans="1:9" x14ac:dyDescent="0.25">
      <c r="A120"/>
      <c r="D120"/>
      <c r="I120"/>
    </row>
    <row r="121" spans="1:9" x14ac:dyDescent="0.25">
      <c r="A121"/>
      <c r="D121"/>
      <c r="I121"/>
    </row>
    <row r="122" spans="1:9" x14ac:dyDescent="0.25">
      <c r="A122"/>
      <c r="D122"/>
      <c r="I122"/>
    </row>
    <row r="123" spans="1:9" x14ac:dyDescent="0.25">
      <c r="A123"/>
      <c r="D123"/>
      <c r="I123"/>
    </row>
    <row r="124" spans="1:9" x14ac:dyDescent="0.25">
      <c r="A124"/>
      <c r="D124"/>
      <c r="I124"/>
    </row>
    <row r="125" spans="1:9" x14ac:dyDescent="0.25">
      <c r="A125"/>
      <c r="D125"/>
      <c r="I125"/>
    </row>
    <row r="126" spans="1:9" x14ac:dyDescent="0.25">
      <c r="A126"/>
      <c r="D126"/>
      <c r="I126"/>
    </row>
    <row r="127" spans="1:9" x14ac:dyDescent="0.25">
      <c r="A127"/>
      <c r="D127"/>
      <c r="I127"/>
    </row>
    <row r="128" spans="1:9" x14ac:dyDescent="0.25">
      <c r="A128"/>
      <c r="D128"/>
      <c r="I128"/>
    </row>
    <row r="129" spans="1:9" x14ac:dyDescent="0.25">
      <c r="A129"/>
      <c r="D129"/>
      <c r="I129"/>
    </row>
    <row r="130" spans="1:9" x14ac:dyDescent="0.25">
      <c r="A130"/>
      <c r="D130"/>
      <c r="I130"/>
    </row>
    <row r="131" spans="1:9" x14ac:dyDescent="0.25">
      <c r="A131"/>
      <c r="D131"/>
      <c r="I131"/>
    </row>
    <row r="132" spans="1:9" x14ac:dyDescent="0.25">
      <c r="A132"/>
      <c r="D132"/>
      <c r="I132"/>
    </row>
    <row r="133" spans="1:9" x14ac:dyDescent="0.25">
      <c r="A133"/>
      <c r="D133"/>
      <c r="I133"/>
    </row>
    <row r="134" spans="1:9" x14ac:dyDescent="0.25">
      <c r="A134"/>
      <c r="D134"/>
      <c r="I134"/>
    </row>
    <row r="135" spans="1:9" x14ac:dyDescent="0.25">
      <c r="A135"/>
      <c r="D135"/>
      <c r="I135"/>
    </row>
    <row r="136" spans="1:9" x14ac:dyDescent="0.25">
      <c r="A136"/>
      <c r="D136"/>
      <c r="I136"/>
    </row>
    <row r="137" spans="1:9" x14ac:dyDescent="0.25">
      <c r="A137"/>
      <c r="D137"/>
      <c r="I137"/>
    </row>
    <row r="138" spans="1:9" x14ac:dyDescent="0.25">
      <c r="A138"/>
      <c r="D138"/>
      <c r="I138"/>
    </row>
    <row r="139" spans="1:9" x14ac:dyDescent="0.25">
      <c r="A139"/>
      <c r="D139"/>
      <c r="I139"/>
    </row>
    <row r="140" spans="1:9" x14ac:dyDescent="0.25">
      <c r="A140"/>
      <c r="D140"/>
      <c r="I140"/>
    </row>
    <row r="141" spans="1:9" x14ac:dyDescent="0.25">
      <c r="A141"/>
      <c r="D141"/>
      <c r="I141"/>
    </row>
    <row r="142" spans="1:9" x14ac:dyDescent="0.25">
      <c r="A142"/>
      <c r="D142"/>
      <c r="I142"/>
    </row>
    <row r="143" spans="1:9" x14ac:dyDescent="0.25">
      <c r="A143"/>
      <c r="D143"/>
      <c r="I143"/>
    </row>
    <row r="144" spans="1:9" x14ac:dyDescent="0.25">
      <c r="A144"/>
      <c r="D144"/>
      <c r="I144"/>
    </row>
    <row r="145" spans="1:9" x14ac:dyDescent="0.25">
      <c r="A145"/>
      <c r="D145"/>
      <c r="I145"/>
    </row>
    <row r="146" spans="1:9" x14ac:dyDescent="0.25">
      <c r="A146"/>
      <c r="D146"/>
      <c r="I146"/>
    </row>
    <row r="147" spans="1:9" x14ac:dyDescent="0.25">
      <c r="A147"/>
      <c r="D147"/>
      <c r="I147"/>
    </row>
    <row r="148" spans="1:9" x14ac:dyDescent="0.25">
      <c r="A148"/>
      <c r="D148"/>
      <c r="I148"/>
    </row>
    <row r="149" spans="1:9" x14ac:dyDescent="0.25">
      <c r="A149"/>
      <c r="D149"/>
      <c r="I149"/>
    </row>
    <row r="150" spans="1:9" x14ac:dyDescent="0.25">
      <c r="A150"/>
      <c r="D150"/>
      <c r="I150"/>
    </row>
    <row r="151" spans="1:9" x14ac:dyDescent="0.25">
      <c r="A151"/>
      <c r="D151"/>
      <c r="I151"/>
    </row>
    <row r="152" spans="1:9" x14ac:dyDescent="0.25">
      <c r="A152"/>
      <c r="D152"/>
      <c r="I152"/>
    </row>
    <row r="153" spans="1:9" x14ac:dyDescent="0.25">
      <c r="A153"/>
      <c r="D153"/>
      <c r="I153"/>
    </row>
    <row r="154" spans="1:9" x14ac:dyDescent="0.25">
      <c r="A154"/>
      <c r="D154"/>
      <c r="I154"/>
    </row>
    <row r="155" spans="1:9" x14ac:dyDescent="0.25">
      <c r="A155"/>
      <c r="D155"/>
      <c r="I155"/>
    </row>
    <row r="156" spans="1:9" x14ac:dyDescent="0.25">
      <c r="A156"/>
      <c r="D156"/>
      <c r="I156"/>
    </row>
    <row r="157" spans="1:9" x14ac:dyDescent="0.25">
      <c r="A157"/>
      <c r="D157"/>
      <c r="I157"/>
    </row>
    <row r="158" spans="1:9" x14ac:dyDescent="0.25">
      <c r="A158"/>
      <c r="D158"/>
      <c r="I158"/>
    </row>
    <row r="159" spans="1:9" x14ac:dyDescent="0.25">
      <c r="A159"/>
      <c r="D159"/>
      <c r="I159"/>
    </row>
    <row r="160" spans="1:9" x14ac:dyDescent="0.25">
      <c r="A160"/>
      <c r="D160"/>
      <c r="I160"/>
    </row>
    <row r="161" spans="1:9" x14ac:dyDescent="0.25">
      <c r="A161"/>
      <c r="D161"/>
      <c r="I161"/>
    </row>
    <row r="162" spans="1:9" x14ac:dyDescent="0.25">
      <c r="A162"/>
      <c r="D162"/>
      <c r="I162"/>
    </row>
    <row r="163" spans="1:9" x14ac:dyDescent="0.25">
      <c r="A163"/>
      <c r="D163"/>
      <c r="I163"/>
    </row>
    <row r="164" spans="1:9" x14ac:dyDescent="0.25">
      <c r="A164"/>
      <c r="D164"/>
      <c r="I164"/>
    </row>
    <row r="165" spans="1:9" x14ac:dyDescent="0.25">
      <c r="A165"/>
      <c r="D165"/>
      <c r="I165"/>
    </row>
    <row r="166" spans="1:9" x14ac:dyDescent="0.25">
      <c r="A166"/>
      <c r="D166"/>
      <c r="I166"/>
    </row>
    <row r="167" spans="1:9" x14ac:dyDescent="0.25">
      <c r="A167"/>
      <c r="D167"/>
      <c r="I167"/>
    </row>
    <row r="168" spans="1:9" x14ac:dyDescent="0.25">
      <c r="A168"/>
      <c r="D168"/>
      <c r="I168"/>
    </row>
    <row r="169" spans="1:9" x14ac:dyDescent="0.25">
      <c r="A169"/>
      <c r="D169"/>
      <c r="I169"/>
    </row>
    <row r="170" spans="1:9" x14ac:dyDescent="0.25">
      <c r="A170"/>
      <c r="D170"/>
      <c r="I170"/>
    </row>
    <row r="171" spans="1:9" x14ac:dyDescent="0.25">
      <c r="A171"/>
      <c r="D171"/>
      <c r="I171"/>
    </row>
    <row r="172" spans="1:9" x14ac:dyDescent="0.25">
      <c r="A172"/>
      <c r="D172"/>
      <c r="I172"/>
    </row>
    <row r="173" spans="1:9" x14ac:dyDescent="0.25">
      <c r="A173"/>
      <c r="D173"/>
      <c r="I173"/>
    </row>
    <row r="174" spans="1:9" x14ac:dyDescent="0.25">
      <c r="A174"/>
      <c r="D174"/>
      <c r="I174"/>
    </row>
    <row r="175" spans="1:9" x14ac:dyDescent="0.25">
      <c r="A175"/>
      <c r="D175"/>
      <c r="I175"/>
    </row>
    <row r="176" spans="1:9" x14ac:dyDescent="0.25">
      <c r="A176"/>
      <c r="D176"/>
      <c r="I176"/>
    </row>
    <row r="177" spans="1:9" x14ac:dyDescent="0.25">
      <c r="A177"/>
      <c r="D177"/>
      <c r="I177"/>
    </row>
    <row r="178" spans="1:9" x14ac:dyDescent="0.25">
      <c r="A178"/>
      <c r="D178"/>
      <c r="I178"/>
    </row>
    <row r="179" spans="1:9" x14ac:dyDescent="0.25">
      <c r="A179"/>
      <c r="D179"/>
      <c r="I179"/>
    </row>
    <row r="180" spans="1:9" x14ac:dyDescent="0.25">
      <c r="A180"/>
      <c r="D180"/>
      <c r="I180"/>
    </row>
    <row r="181" spans="1:9" x14ac:dyDescent="0.25">
      <c r="A181"/>
      <c r="D181"/>
      <c r="I181"/>
    </row>
    <row r="182" spans="1:9" x14ac:dyDescent="0.25">
      <c r="A182"/>
      <c r="D182"/>
      <c r="I182"/>
    </row>
    <row r="183" spans="1:9" x14ac:dyDescent="0.25">
      <c r="A183"/>
      <c r="D183"/>
      <c r="I183"/>
    </row>
    <row r="184" spans="1:9" x14ac:dyDescent="0.25">
      <c r="A184"/>
      <c r="D184"/>
      <c r="I184"/>
    </row>
    <row r="185" spans="1:9" x14ac:dyDescent="0.25">
      <c r="A185"/>
      <c r="D185"/>
      <c r="I185"/>
    </row>
    <row r="186" spans="1:9" x14ac:dyDescent="0.25">
      <c r="A186"/>
      <c r="D186"/>
      <c r="I186"/>
    </row>
    <row r="187" spans="1:9" x14ac:dyDescent="0.25">
      <c r="A187"/>
      <c r="D187"/>
      <c r="I187"/>
    </row>
    <row r="188" spans="1:9" x14ac:dyDescent="0.25">
      <c r="A188"/>
      <c r="D188"/>
      <c r="I188"/>
    </row>
    <row r="189" spans="1:9" x14ac:dyDescent="0.25">
      <c r="A189"/>
      <c r="D189"/>
      <c r="I189"/>
    </row>
    <row r="190" spans="1:9" x14ac:dyDescent="0.25">
      <c r="A190"/>
      <c r="D190"/>
      <c r="I190"/>
    </row>
    <row r="191" spans="1:9" x14ac:dyDescent="0.25">
      <c r="A191"/>
      <c r="D191"/>
      <c r="I191"/>
    </row>
    <row r="192" spans="1:9" x14ac:dyDescent="0.25">
      <c r="A192"/>
      <c r="D192"/>
      <c r="I192"/>
    </row>
    <row r="193" spans="1:9" x14ac:dyDescent="0.25">
      <c r="A193"/>
      <c r="D193"/>
      <c r="I193"/>
    </row>
    <row r="194" spans="1:9" x14ac:dyDescent="0.25">
      <c r="A194"/>
      <c r="D194"/>
      <c r="I194"/>
    </row>
    <row r="195" spans="1:9" x14ac:dyDescent="0.25">
      <c r="A195"/>
      <c r="D195"/>
      <c r="I195"/>
    </row>
    <row r="196" spans="1:9" x14ac:dyDescent="0.25">
      <c r="A196"/>
      <c r="D196"/>
      <c r="I196"/>
    </row>
    <row r="197" spans="1:9" x14ac:dyDescent="0.25">
      <c r="A197"/>
      <c r="D197"/>
      <c r="I197"/>
    </row>
    <row r="198" spans="1:9" x14ac:dyDescent="0.25">
      <c r="A198"/>
      <c r="D198"/>
      <c r="I198"/>
    </row>
    <row r="199" spans="1:9" x14ac:dyDescent="0.25">
      <c r="A199"/>
      <c r="D199"/>
      <c r="I199"/>
    </row>
    <row r="200" spans="1:9" x14ac:dyDescent="0.25">
      <c r="A200"/>
      <c r="D200"/>
      <c r="I200"/>
    </row>
    <row r="201" spans="1:9" x14ac:dyDescent="0.25">
      <c r="A201"/>
      <c r="D201"/>
      <c r="I201"/>
    </row>
    <row r="202" spans="1:9" x14ac:dyDescent="0.25">
      <c r="A202"/>
      <c r="D202"/>
      <c r="I202"/>
    </row>
    <row r="203" spans="1:9" x14ac:dyDescent="0.25">
      <c r="A203"/>
      <c r="D203"/>
      <c r="I203"/>
    </row>
    <row r="204" spans="1:9" x14ac:dyDescent="0.25">
      <c r="A204"/>
      <c r="D204"/>
      <c r="I204"/>
    </row>
    <row r="205" spans="1:9" x14ac:dyDescent="0.25">
      <c r="A205"/>
      <c r="D205"/>
      <c r="I205"/>
    </row>
    <row r="206" spans="1:9" x14ac:dyDescent="0.25">
      <c r="A206"/>
      <c r="D206"/>
      <c r="I206"/>
    </row>
    <row r="207" spans="1:9" x14ac:dyDescent="0.25">
      <c r="A207"/>
      <c r="D207"/>
      <c r="I207"/>
    </row>
    <row r="208" spans="1:9" x14ac:dyDescent="0.25">
      <c r="A208"/>
      <c r="D208"/>
      <c r="I208"/>
    </row>
    <row r="209" spans="1:9" x14ac:dyDescent="0.25">
      <c r="A209"/>
      <c r="D209"/>
      <c r="I209"/>
    </row>
    <row r="210" spans="1:9" x14ac:dyDescent="0.25">
      <c r="A210"/>
      <c r="D210"/>
      <c r="I210"/>
    </row>
    <row r="211" spans="1:9" x14ac:dyDescent="0.25">
      <c r="A211"/>
      <c r="D211"/>
      <c r="I211"/>
    </row>
    <row r="212" spans="1:9" x14ac:dyDescent="0.25">
      <c r="A212"/>
      <c r="D212"/>
      <c r="I212"/>
    </row>
    <row r="213" spans="1:9" x14ac:dyDescent="0.25">
      <c r="A213"/>
      <c r="D213"/>
      <c r="I213"/>
    </row>
    <row r="214" spans="1:9" x14ac:dyDescent="0.25">
      <c r="A214"/>
      <c r="D214"/>
      <c r="I214"/>
    </row>
    <row r="215" spans="1:9" x14ac:dyDescent="0.25">
      <c r="A215"/>
      <c r="D215"/>
      <c r="I215"/>
    </row>
    <row r="216" spans="1:9" x14ac:dyDescent="0.25">
      <c r="A216"/>
      <c r="D216"/>
      <c r="I216"/>
    </row>
    <row r="217" spans="1:9" x14ac:dyDescent="0.25">
      <c r="A217"/>
      <c r="D217"/>
      <c r="I217"/>
    </row>
    <row r="218" spans="1:9" x14ac:dyDescent="0.25">
      <c r="A218"/>
      <c r="D218"/>
      <c r="I218"/>
    </row>
    <row r="219" spans="1:9" x14ac:dyDescent="0.25">
      <c r="A219"/>
      <c r="D219"/>
      <c r="I219"/>
    </row>
    <row r="220" spans="1:9" x14ac:dyDescent="0.25">
      <c r="A220"/>
      <c r="D220"/>
      <c r="I220"/>
    </row>
    <row r="221" spans="1:9" x14ac:dyDescent="0.25">
      <c r="A221"/>
      <c r="D221"/>
      <c r="I221"/>
    </row>
    <row r="222" spans="1:9" x14ac:dyDescent="0.25">
      <c r="A222"/>
      <c r="D222"/>
      <c r="I222"/>
    </row>
    <row r="223" spans="1:9" x14ac:dyDescent="0.25">
      <c r="A223"/>
      <c r="D223"/>
      <c r="I223"/>
    </row>
    <row r="224" spans="1:9" x14ac:dyDescent="0.25">
      <c r="A224"/>
      <c r="D224"/>
      <c r="I224"/>
    </row>
    <row r="225" spans="1:9" x14ac:dyDescent="0.25">
      <c r="A225"/>
      <c r="D225"/>
      <c r="I225"/>
    </row>
    <row r="226" spans="1:9" x14ac:dyDescent="0.25">
      <c r="A226"/>
      <c r="D226"/>
      <c r="I226"/>
    </row>
    <row r="227" spans="1:9" x14ac:dyDescent="0.25">
      <c r="A227"/>
      <c r="D227"/>
      <c r="I227"/>
    </row>
    <row r="228" spans="1:9" x14ac:dyDescent="0.25">
      <c r="A228"/>
      <c r="D228"/>
      <c r="I228"/>
    </row>
    <row r="229" spans="1:9" x14ac:dyDescent="0.25">
      <c r="A229"/>
      <c r="D229"/>
      <c r="I229"/>
    </row>
    <row r="230" spans="1:9" x14ac:dyDescent="0.25">
      <c r="A230"/>
      <c r="D230"/>
      <c r="I230"/>
    </row>
    <row r="231" spans="1:9" x14ac:dyDescent="0.25">
      <c r="A231"/>
      <c r="D231"/>
      <c r="I231"/>
    </row>
    <row r="232" spans="1:9" x14ac:dyDescent="0.25">
      <c r="A232"/>
      <c r="D232"/>
      <c r="I232"/>
    </row>
    <row r="233" spans="1:9" x14ac:dyDescent="0.25">
      <c r="A233"/>
      <c r="D233"/>
      <c r="I233"/>
    </row>
    <row r="234" spans="1:9" x14ac:dyDescent="0.25">
      <c r="A234"/>
      <c r="D234"/>
      <c r="I234"/>
    </row>
    <row r="235" spans="1:9" x14ac:dyDescent="0.25">
      <c r="A235"/>
      <c r="D235"/>
      <c r="I235"/>
    </row>
    <row r="236" spans="1:9" x14ac:dyDescent="0.25">
      <c r="A236"/>
      <c r="D236"/>
      <c r="I236"/>
    </row>
    <row r="237" spans="1:9" x14ac:dyDescent="0.25">
      <c r="A237"/>
      <c r="D237"/>
      <c r="I237"/>
    </row>
    <row r="238" spans="1:9" x14ac:dyDescent="0.25">
      <c r="A238"/>
      <c r="D238"/>
      <c r="I238"/>
    </row>
    <row r="239" spans="1:9" x14ac:dyDescent="0.25">
      <c r="A239"/>
      <c r="D239"/>
      <c r="I239"/>
    </row>
    <row r="240" spans="1:9" x14ac:dyDescent="0.25">
      <c r="A240"/>
      <c r="D240"/>
      <c r="I240"/>
    </row>
    <row r="241" spans="1:9" x14ac:dyDescent="0.25">
      <c r="A241"/>
      <c r="D241"/>
      <c r="I241"/>
    </row>
    <row r="242" spans="1:9" x14ac:dyDescent="0.25">
      <c r="A242"/>
      <c r="D242"/>
      <c r="I242"/>
    </row>
    <row r="243" spans="1:9" x14ac:dyDescent="0.25">
      <c r="A243"/>
      <c r="D243"/>
      <c r="I243"/>
    </row>
    <row r="244" spans="1:9" x14ac:dyDescent="0.25">
      <c r="A244"/>
      <c r="D244"/>
      <c r="I244"/>
    </row>
    <row r="245" spans="1:9" x14ac:dyDescent="0.25">
      <c r="A245"/>
      <c r="D245"/>
      <c r="I245"/>
    </row>
    <row r="246" spans="1:9" x14ac:dyDescent="0.25">
      <c r="A246"/>
      <c r="D246"/>
      <c r="I246"/>
    </row>
    <row r="247" spans="1:9" x14ac:dyDescent="0.25">
      <c r="A247"/>
      <c r="D247"/>
      <c r="I247"/>
    </row>
    <row r="248" spans="1:9" x14ac:dyDescent="0.25">
      <c r="A248"/>
      <c r="D248"/>
      <c r="I248"/>
    </row>
    <row r="249" spans="1:9" x14ac:dyDescent="0.25">
      <c r="A249"/>
      <c r="D249"/>
      <c r="I249"/>
    </row>
    <row r="250" spans="1:9" x14ac:dyDescent="0.25">
      <c r="A250"/>
      <c r="D250"/>
      <c r="I250"/>
    </row>
    <row r="251" spans="1:9" x14ac:dyDescent="0.25">
      <c r="A251"/>
      <c r="D251"/>
      <c r="I251"/>
    </row>
    <row r="252" spans="1:9" x14ac:dyDescent="0.25">
      <c r="A252"/>
      <c r="D252"/>
      <c r="I252"/>
    </row>
    <row r="253" spans="1:9" x14ac:dyDescent="0.25">
      <c r="A253"/>
      <c r="D253"/>
      <c r="I253"/>
    </row>
    <row r="254" spans="1:9" x14ac:dyDescent="0.25">
      <c r="A254"/>
      <c r="D254"/>
      <c r="I254"/>
    </row>
    <row r="255" spans="1:9" x14ac:dyDescent="0.25">
      <c r="A255"/>
      <c r="D255"/>
      <c r="I255"/>
    </row>
    <row r="256" spans="1:9" x14ac:dyDescent="0.25">
      <c r="A256"/>
      <c r="D256"/>
      <c r="I256"/>
    </row>
    <row r="257" spans="1:9" x14ac:dyDescent="0.25">
      <c r="A257"/>
      <c r="D257"/>
      <c r="I257"/>
    </row>
    <row r="258" spans="1:9" x14ac:dyDescent="0.25">
      <c r="A258"/>
      <c r="D258"/>
      <c r="I258"/>
    </row>
    <row r="259" spans="1:9" x14ac:dyDescent="0.25">
      <c r="A259"/>
      <c r="D259"/>
      <c r="I259"/>
    </row>
    <row r="260" spans="1:9" x14ac:dyDescent="0.25">
      <c r="A260"/>
      <c r="D260"/>
      <c r="I260"/>
    </row>
    <row r="261" spans="1:9" x14ac:dyDescent="0.25">
      <c r="A261"/>
      <c r="D261"/>
      <c r="I261"/>
    </row>
    <row r="262" spans="1:9" x14ac:dyDescent="0.25">
      <c r="A262"/>
      <c r="D262"/>
      <c r="I262"/>
    </row>
    <row r="263" spans="1:9" x14ac:dyDescent="0.25">
      <c r="A263"/>
      <c r="D263"/>
      <c r="I263"/>
    </row>
    <row r="264" spans="1:9" x14ac:dyDescent="0.25">
      <c r="A264"/>
      <c r="D264"/>
      <c r="I264"/>
    </row>
    <row r="265" spans="1:9" x14ac:dyDescent="0.25">
      <c r="A265"/>
      <c r="D265"/>
      <c r="I265"/>
    </row>
    <row r="266" spans="1:9" x14ac:dyDescent="0.25">
      <c r="A266"/>
      <c r="D266"/>
      <c r="I266"/>
    </row>
    <row r="267" spans="1:9" x14ac:dyDescent="0.25">
      <c r="A267"/>
      <c r="D267"/>
      <c r="I267"/>
    </row>
    <row r="268" spans="1:9" x14ac:dyDescent="0.25">
      <c r="A268"/>
      <c r="D268"/>
      <c r="I268"/>
    </row>
    <row r="269" spans="1:9" x14ac:dyDescent="0.25">
      <c r="A269"/>
      <c r="D269"/>
      <c r="I269"/>
    </row>
    <row r="270" spans="1:9" x14ac:dyDescent="0.25">
      <c r="A270"/>
      <c r="D270"/>
      <c r="I270"/>
    </row>
    <row r="271" spans="1:9" x14ac:dyDescent="0.25">
      <c r="A271"/>
      <c r="D271"/>
      <c r="I271"/>
    </row>
    <row r="272" spans="1:9" x14ac:dyDescent="0.25">
      <c r="A272"/>
      <c r="D272"/>
      <c r="I272"/>
    </row>
    <row r="273" spans="1:9" x14ac:dyDescent="0.25">
      <c r="A273"/>
      <c r="D273"/>
      <c r="I273"/>
    </row>
    <row r="274" spans="1:9" x14ac:dyDescent="0.25">
      <c r="A274"/>
      <c r="D274"/>
      <c r="I274"/>
    </row>
    <row r="275" spans="1:9" x14ac:dyDescent="0.25">
      <c r="A275"/>
      <c r="D275"/>
      <c r="I275"/>
    </row>
    <row r="276" spans="1:9" x14ac:dyDescent="0.25">
      <c r="A276"/>
      <c r="D276"/>
      <c r="I276"/>
    </row>
    <row r="277" spans="1:9" x14ac:dyDescent="0.25">
      <c r="A277"/>
      <c r="D277"/>
      <c r="I277"/>
    </row>
    <row r="278" spans="1:9" x14ac:dyDescent="0.25">
      <c r="A278"/>
      <c r="D278"/>
      <c r="I278"/>
    </row>
    <row r="279" spans="1:9" x14ac:dyDescent="0.25">
      <c r="A279"/>
      <c r="D279"/>
      <c r="I279"/>
    </row>
    <row r="280" spans="1:9" x14ac:dyDescent="0.25">
      <c r="A280"/>
      <c r="D280"/>
      <c r="I280"/>
    </row>
    <row r="281" spans="1:9" x14ac:dyDescent="0.25">
      <c r="A281"/>
      <c r="D281"/>
      <c r="I281"/>
    </row>
    <row r="282" spans="1:9" x14ac:dyDescent="0.25">
      <c r="A282"/>
      <c r="D282"/>
      <c r="I282"/>
    </row>
    <row r="283" spans="1:9" x14ac:dyDescent="0.25">
      <c r="A283"/>
      <c r="D283"/>
      <c r="I283"/>
    </row>
    <row r="284" spans="1:9" x14ac:dyDescent="0.25">
      <c r="A284"/>
      <c r="D284"/>
      <c r="I284"/>
    </row>
    <row r="285" spans="1:9" x14ac:dyDescent="0.25">
      <c r="A285"/>
      <c r="D285"/>
      <c r="I285"/>
    </row>
    <row r="286" spans="1:9" x14ac:dyDescent="0.25">
      <c r="A286"/>
      <c r="D286"/>
      <c r="I286"/>
    </row>
    <row r="287" spans="1:9" x14ac:dyDescent="0.25">
      <c r="A287"/>
      <c r="D287"/>
      <c r="I287"/>
    </row>
    <row r="288" spans="1:9" x14ac:dyDescent="0.25">
      <c r="A288"/>
      <c r="D288"/>
      <c r="I288"/>
    </row>
    <row r="289" spans="1:9" x14ac:dyDescent="0.25">
      <c r="A289"/>
      <c r="D289"/>
      <c r="I289"/>
    </row>
    <row r="290" spans="1:9" x14ac:dyDescent="0.25">
      <c r="A290"/>
      <c r="D290"/>
      <c r="I290"/>
    </row>
    <row r="291" spans="1:9" x14ac:dyDescent="0.25">
      <c r="A291"/>
      <c r="D291"/>
      <c r="I291"/>
    </row>
    <row r="292" spans="1:9" x14ac:dyDescent="0.25">
      <c r="A292"/>
      <c r="D292"/>
      <c r="I292"/>
    </row>
    <row r="293" spans="1:9" x14ac:dyDescent="0.25">
      <c r="A293"/>
      <c r="D293"/>
      <c r="I293"/>
    </row>
    <row r="294" spans="1:9" x14ac:dyDescent="0.25">
      <c r="A294"/>
      <c r="D294"/>
      <c r="I294"/>
    </row>
    <row r="295" spans="1:9" x14ac:dyDescent="0.25">
      <c r="A295"/>
      <c r="D295"/>
      <c r="I295"/>
    </row>
    <row r="296" spans="1:9" x14ac:dyDescent="0.25">
      <c r="A296"/>
      <c r="D296"/>
      <c r="I296"/>
    </row>
    <row r="297" spans="1:9" x14ac:dyDescent="0.25">
      <c r="A297"/>
      <c r="D297"/>
      <c r="I297"/>
    </row>
    <row r="298" spans="1:9" x14ac:dyDescent="0.25">
      <c r="A298"/>
      <c r="D298"/>
      <c r="I298"/>
    </row>
    <row r="299" spans="1:9" x14ac:dyDescent="0.25">
      <c r="A299"/>
      <c r="D299"/>
      <c r="I299"/>
    </row>
    <row r="300" spans="1:9" x14ac:dyDescent="0.25">
      <c r="A300"/>
      <c r="D300"/>
      <c r="I300"/>
    </row>
    <row r="301" spans="1:9" x14ac:dyDescent="0.25">
      <c r="A301"/>
      <c r="D301"/>
      <c r="I301"/>
    </row>
    <row r="302" spans="1:9" x14ac:dyDescent="0.25">
      <c r="A302"/>
      <c r="D302"/>
      <c r="I302"/>
    </row>
    <row r="303" spans="1:9" x14ac:dyDescent="0.25">
      <c r="A303"/>
      <c r="D303"/>
      <c r="I303"/>
    </row>
    <row r="304" spans="1:9" x14ac:dyDescent="0.25">
      <c r="A304"/>
      <c r="D304"/>
      <c r="I304"/>
    </row>
    <row r="305" spans="1:9" x14ac:dyDescent="0.25">
      <c r="A305"/>
      <c r="D305"/>
      <c r="I305"/>
    </row>
    <row r="306" spans="1:9" x14ac:dyDescent="0.25">
      <c r="A306"/>
      <c r="D306"/>
      <c r="I306"/>
    </row>
    <row r="307" spans="1:9" x14ac:dyDescent="0.25">
      <c r="A307"/>
      <c r="D307"/>
      <c r="I307"/>
    </row>
    <row r="308" spans="1:9" x14ac:dyDescent="0.25">
      <c r="A308"/>
      <c r="D308"/>
      <c r="I308"/>
    </row>
    <row r="309" spans="1:9" x14ac:dyDescent="0.25">
      <c r="A309"/>
      <c r="D309"/>
      <c r="I309"/>
    </row>
    <row r="310" spans="1:9" x14ac:dyDescent="0.25">
      <c r="A310"/>
      <c r="D310"/>
      <c r="I310"/>
    </row>
    <row r="311" spans="1:9" x14ac:dyDescent="0.25">
      <c r="A311"/>
      <c r="D311"/>
      <c r="I311"/>
    </row>
    <row r="312" spans="1:9" x14ac:dyDescent="0.25">
      <c r="A312"/>
      <c r="D312"/>
      <c r="I312"/>
    </row>
    <row r="313" spans="1:9" x14ac:dyDescent="0.25">
      <c r="A313"/>
      <c r="D313"/>
      <c r="I313"/>
    </row>
    <row r="314" spans="1:9" x14ac:dyDescent="0.25">
      <c r="A314"/>
      <c r="D314"/>
      <c r="I314"/>
    </row>
    <row r="315" spans="1:9" x14ac:dyDescent="0.25">
      <c r="A315"/>
      <c r="D315"/>
      <c r="I315"/>
    </row>
    <row r="316" spans="1:9" x14ac:dyDescent="0.25">
      <c r="A316"/>
      <c r="D316"/>
      <c r="I316"/>
    </row>
    <row r="317" spans="1:9" x14ac:dyDescent="0.25">
      <c r="A317"/>
      <c r="D317"/>
      <c r="I317"/>
    </row>
    <row r="318" spans="1:9" x14ac:dyDescent="0.25">
      <c r="A318"/>
      <c r="D318"/>
      <c r="I318"/>
    </row>
    <row r="319" spans="1:9" x14ac:dyDescent="0.25">
      <c r="A319"/>
      <c r="D319"/>
      <c r="I319"/>
    </row>
    <row r="320" spans="1:9" x14ac:dyDescent="0.25">
      <c r="A320"/>
      <c r="D320"/>
      <c r="I320"/>
    </row>
    <row r="321" spans="1:9" x14ac:dyDescent="0.25">
      <c r="A321"/>
      <c r="D321"/>
      <c r="I321"/>
    </row>
    <row r="322" spans="1:9" x14ac:dyDescent="0.25">
      <c r="A322"/>
      <c r="D322"/>
      <c r="I322"/>
    </row>
    <row r="323" spans="1:9" x14ac:dyDescent="0.25">
      <c r="A323"/>
      <c r="D323"/>
      <c r="I323"/>
    </row>
    <row r="324" spans="1:9" x14ac:dyDescent="0.25">
      <c r="A324"/>
      <c r="D324"/>
      <c r="I324"/>
    </row>
    <row r="325" spans="1:9" x14ac:dyDescent="0.25">
      <c r="A325"/>
      <c r="D325"/>
      <c r="I325"/>
    </row>
    <row r="326" spans="1:9" x14ac:dyDescent="0.25">
      <c r="A326"/>
      <c r="D326"/>
      <c r="I326"/>
    </row>
    <row r="327" spans="1:9" x14ac:dyDescent="0.25">
      <c r="A327"/>
      <c r="D327"/>
      <c r="I327"/>
    </row>
    <row r="328" spans="1:9" x14ac:dyDescent="0.25">
      <c r="A328"/>
      <c r="D328"/>
      <c r="I328"/>
    </row>
    <row r="329" spans="1:9" x14ac:dyDescent="0.25">
      <c r="A329"/>
      <c r="D329"/>
      <c r="I329"/>
    </row>
    <row r="330" spans="1:9" x14ac:dyDescent="0.25">
      <c r="A330"/>
      <c r="D330"/>
      <c r="I330"/>
    </row>
    <row r="331" spans="1:9" x14ac:dyDescent="0.25">
      <c r="A331"/>
      <c r="D331"/>
      <c r="I331"/>
    </row>
    <row r="332" spans="1:9" x14ac:dyDescent="0.25">
      <c r="A332"/>
      <c r="D332"/>
      <c r="I332"/>
    </row>
    <row r="333" spans="1:9" x14ac:dyDescent="0.25">
      <c r="A333"/>
      <c r="D333"/>
      <c r="I333"/>
    </row>
    <row r="334" spans="1:9" x14ac:dyDescent="0.25">
      <c r="A334"/>
      <c r="D334"/>
      <c r="I334"/>
    </row>
    <row r="335" spans="1:9" x14ac:dyDescent="0.25">
      <c r="A335"/>
      <c r="D335"/>
      <c r="I335"/>
    </row>
    <row r="336" spans="1:9" x14ac:dyDescent="0.25">
      <c r="A336"/>
      <c r="D336"/>
      <c r="I336"/>
    </row>
    <row r="337" spans="1:9" x14ac:dyDescent="0.25">
      <c r="A337"/>
      <c r="D337"/>
      <c r="I337"/>
    </row>
    <row r="338" spans="1:9" x14ac:dyDescent="0.25">
      <c r="A338"/>
      <c r="D338"/>
      <c r="I338"/>
    </row>
    <row r="339" spans="1:9" x14ac:dyDescent="0.25">
      <c r="A339"/>
      <c r="D339"/>
      <c r="I339"/>
    </row>
    <row r="340" spans="1:9" x14ac:dyDescent="0.25">
      <c r="A340"/>
      <c r="D340"/>
      <c r="I340"/>
    </row>
    <row r="341" spans="1:9" x14ac:dyDescent="0.25">
      <c r="A341"/>
      <c r="D341"/>
      <c r="I341"/>
    </row>
    <row r="342" spans="1:9" x14ac:dyDescent="0.25">
      <c r="A342"/>
      <c r="D342"/>
      <c r="I342"/>
    </row>
    <row r="343" spans="1:9" x14ac:dyDescent="0.25">
      <c r="A343"/>
      <c r="D343"/>
      <c r="I343"/>
    </row>
    <row r="344" spans="1:9" x14ac:dyDescent="0.25">
      <c r="A344"/>
      <c r="D344"/>
      <c r="I344"/>
    </row>
    <row r="345" spans="1:9" x14ac:dyDescent="0.25">
      <c r="A345"/>
      <c r="D345"/>
      <c r="I345"/>
    </row>
    <row r="346" spans="1:9" x14ac:dyDescent="0.25">
      <c r="A346"/>
      <c r="D346"/>
      <c r="I346"/>
    </row>
    <row r="347" spans="1:9" x14ac:dyDescent="0.25">
      <c r="A347"/>
      <c r="D347"/>
      <c r="I347"/>
    </row>
    <row r="348" spans="1:9" x14ac:dyDescent="0.25">
      <c r="A348"/>
      <c r="D348"/>
      <c r="I348"/>
    </row>
    <row r="349" spans="1:9" x14ac:dyDescent="0.25">
      <c r="A349"/>
      <c r="D349"/>
      <c r="I349"/>
    </row>
    <row r="350" spans="1:9" x14ac:dyDescent="0.25">
      <c r="A350"/>
      <c r="D350"/>
      <c r="I350"/>
    </row>
    <row r="351" spans="1:9" x14ac:dyDescent="0.25">
      <c r="A351"/>
      <c r="D351"/>
      <c r="I351"/>
    </row>
    <row r="352" spans="1:9" x14ac:dyDescent="0.25">
      <c r="A352"/>
      <c r="D352"/>
      <c r="I352"/>
    </row>
    <row r="353" spans="1:9" x14ac:dyDescent="0.25">
      <c r="A353"/>
      <c r="D353"/>
      <c r="I353"/>
    </row>
    <row r="354" spans="1:9" x14ac:dyDescent="0.25">
      <c r="A354"/>
      <c r="D354"/>
      <c r="I354"/>
    </row>
    <row r="355" spans="1:9" x14ac:dyDescent="0.25">
      <c r="A355"/>
      <c r="D355"/>
      <c r="I355"/>
    </row>
    <row r="356" spans="1:9" x14ac:dyDescent="0.25">
      <c r="A356"/>
      <c r="D356"/>
      <c r="I356"/>
    </row>
    <row r="357" spans="1:9" x14ac:dyDescent="0.25">
      <c r="A357"/>
      <c r="D357"/>
      <c r="I357"/>
    </row>
    <row r="358" spans="1:9" x14ac:dyDescent="0.25">
      <c r="A358"/>
      <c r="D358"/>
      <c r="I358"/>
    </row>
    <row r="359" spans="1:9" x14ac:dyDescent="0.25">
      <c r="A359"/>
      <c r="D359"/>
      <c r="I359"/>
    </row>
    <row r="360" spans="1:9" x14ac:dyDescent="0.25">
      <c r="A360"/>
      <c r="D360"/>
      <c r="I360"/>
    </row>
    <row r="361" spans="1:9" x14ac:dyDescent="0.25">
      <c r="A361"/>
      <c r="D361"/>
      <c r="I361"/>
    </row>
    <row r="362" spans="1:9" x14ac:dyDescent="0.25">
      <c r="A362"/>
      <c r="D362"/>
      <c r="I362"/>
    </row>
    <row r="363" spans="1:9" x14ac:dyDescent="0.25">
      <c r="A363"/>
      <c r="D363"/>
      <c r="I363"/>
    </row>
    <row r="364" spans="1:9" x14ac:dyDescent="0.25">
      <c r="A364"/>
      <c r="D364"/>
      <c r="I364"/>
    </row>
    <row r="365" spans="1:9" x14ac:dyDescent="0.25">
      <c r="A365"/>
      <c r="D365"/>
      <c r="I365"/>
    </row>
    <row r="366" spans="1:9" x14ac:dyDescent="0.25">
      <c r="A366"/>
      <c r="D366"/>
      <c r="I366"/>
    </row>
    <row r="367" spans="1:9" x14ac:dyDescent="0.25">
      <c r="A367"/>
      <c r="D367"/>
      <c r="I367"/>
    </row>
    <row r="368" spans="1:9" x14ac:dyDescent="0.25">
      <c r="A368"/>
      <c r="D368"/>
      <c r="I368"/>
    </row>
    <row r="369" spans="1:9" x14ac:dyDescent="0.25">
      <c r="A369"/>
      <c r="D369"/>
      <c r="I369"/>
    </row>
    <row r="370" spans="1:9" x14ac:dyDescent="0.25">
      <c r="A370"/>
      <c r="D370"/>
      <c r="I370"/>
    </row>
    <row r="371" spans="1:9" x14ac:dyDescent="0.25">
      <c r="A371"/>
      <c r="D371"/>
      <c r="I371"/>
    </row>
    <row r="372" spans="1:9" x14ac:dyDescent="0.25">
      <c r="A372"/>
      <c r="D372"/>
      <c r="I372"/>
    </row>
    <row r="373" spans="1:9" x14ac:dyDescent="0.25">
      <c r="A373"/>
      <c r="D373"/>
      <c r="I373"/>
    </row>
    <row r="374" spans="1:9" x14ac:dyDescent="0.25">
      <c r="A374"/>
      <c r="D374"/>
      <c r="I374"/>
    </row>
    <row r="375" spans="1:9" x14ac:dyDescent="0.25">
      <c r="A375"/>
      <c r="D375"/>
      <c r="I375"/>
    </row>
    <row r="376" spans="1:9" x14ac:dyDescent="0.25">
      <c r="A376"/>
      <c r="D376"/>
      <c r="I376"/>
    </row>
    <row r="377" spans="1:9" x14ac:dyDescent="0.25">
      <c r="A377"/>
      <c r="D377"/>
      <c r="I377"/>
    </row>
    <row r="378" spans="1:9" x14ac:dyDescent="0.25">
      <c r="A378"/>
      <c r="D378"/>
      <c r="I378"/>
    </row>
    <row r="379" spans="1:9" x14ac:dyDescent="0.25">
      <c r="A379"/>
      <c r="D379"/>
      <c r="I379"/>
    </row>
    <row r="380" spans="1:9" x14ac:dyDescent="0.25">
      <c r="A380"/>
      <c r="D380"/>
      <c r="I380"/>
    </row>
    <row r="381" spans="1:9" x14ac:dyDescent="0.25">
      <c r="A381"/>
      <c r="D381"/>
      <c r="I381"/>
    </row>
    <row r="382" spans="1:9" x14ac:dyDescent="0.25">
      <c r="A382"/>
      <c r="D382"/>
      <c r="I382"/>
    </row>
    <row r="383" spans="1:9" x14ac:dyDescent="0.25">
      <c r="A383"/>
      <c r="D383"/>
      <c r="I383"/>
    </row>
    <row r="384" spans="1:9" x14ac:dyDescent="0.25">
      <c r="A384"/>
      <c r="D384"/>
      <c r="I384"/>
    </row>
    <row r="385" spans="1:9" x14ac:dyDescent="0.25">
      <c r="A385"/>
      <c r="D385"/>
      <c r="I385"/>
    </row>
    <row r="386" spans="1:9" x14ac:dyDescent="0.25">
      <c r="A386"/>
      <c r="D386"/>
      <c r="I386"/>
    </row>
    <row r="387" spans="1:9" x14ac:dyDescent="0.25">
      <c r="A387"/>
      <c r="D387"/>
      <c r="I387"/>
    </row>
    <row r="388" spans="1:9" x14ac:dyDescent="0.25">
      <c r="A388"/>
      <c r="D388"/>
      <c r="I388"/>
    </row>
    <row r="389" spans="1:9" x14ac:dyDescent="0.25">
      <c r="A389"/>
      <c r="D389"/>
      <c r="I389"/>
    </row>
    <row r="390" spans="1:9" x14ac:dyDescent="0.25">
      <c r="A390"/>
      <c r="D390"/>
      <c r="I390"/>
    </row>
    <row r="391" spans="1:9" x14ac:dyDescent="0.25">
      <c r="A391"/>
      <c r="D391"/>
      <c r="I391"/>
    </row>
    <row r="392" spans="1:9" x14ac:dyDescent="0.25">
      <c r="A392"/>
      <c r="D392"/>
      <c r="I392"/>
    </row>
    <row r="393" spans="1:9" x14ac:dyDescent="0.25">
      <c r="A393"/>
      <c r="D393"/>
      <c r="I393"/>
    </row>
    <row r="394" spans="1:9" x14ac:dyDescent="0.25">
      <c r="A394"/>
      <c r="D394"/>
      <c r="I394"/>
    </row>
    <row r="395" spans="1:9" x14ac:dyDescent="0.25">
      <c r="A395"/>
      <c r="D395"/>
      <c r="I395"/>
    </row>
    <row r="396" spans="1:9" x14ac:dyDescent="0.25">
      <c r="A396"/>
      <c r="D396"/>
      <c r="I396"/>
    </row>
    <row r="397" spans="1:9" x14ac:dyDescent="0.25">
      <c r="A397"/>
      <c r="D397"/>
      <c r="I397"/>
    </row>
    <row r="398" spans="1:9" x14ac:dyDescent="0.25">
      <c r="A398"/>
      <c r="D398"/>
      <c r="I398"/>
    </row>
    <row r="399" spans="1:9" x14ac:dyDescent="0.25">
      <c r="A399"/>
      <c r="D399"/>
      <c r="I399"/>
    </row>
    <row r="400" spans="1:9" x14ac:dyDescent="0.25">
      <c r="A400"/>
      <c r="D400"/>
      <c r="I400"/>
    </row>
    <row r="401" spans="1:9" x14ac:dyDescent="0.25">
      <c r="A401"/>
      <c r="D401"/>
      <c r="I401"/>
    </row>
    <row r="402" spans="1:9" x14ac:dyDescent="0.25">
      <c r="A402"/>
      <c r="D402"/>
      <c r="I402"/>
    </row>
    <row r="403" spans="1:9" x14ac:dyDescent="0.25">
      <c r="A403"/>
      <c r="D403"/>
      <c r="I403"/>
    </row>
    <row r="404" spans="1:9" x14ac:dyDescent="0.25">
      <c r="A404"/>
      <c r="D404"/>
      <c r="I404"/>
    </row>
    <row r="405" spans="1:9" x14ac:dyDescent="0.25">
      <c r="A405"/>
      <c r="D405"/>
      <c r="I405"/>
    </row>
    <row r="406" spans="1:9" x14ac:dyDescent="0.25">
      <c r="A406"/>
      <c r="D406"/>
      <c r="I406"/>
    </row>
    <row r="407" spans="1:9" x14ac:dyDescent="0.25">
      <c r="A407"/>
      <c r="D407"/>
      <c r="I407"/>
    </row>
    <row r="408" spans="1:9" x14ac:dyDescent="0.25">
      <c r="A408"/>
      <c r="D408"/>
      <c r="I408"/>
    </row>
    <row r="409" spans="1:9" x14ac:dyDescent="0.25">
      <c r="A409"/>
      <c r="D409"/>
      <c r="I409"/>
    </row>
    <row r="410" spans="1:9" x14ac:dyDescent="0.25">
      <c r="A410"/>
      <c r="D410"/>
      <c r="I410"/>
    </row>
    <row r="411" spans="1:9" x14ac:dyDescent="0.25">
      <c r="A411"/>
      <c r="D411"/>
      <c r="I411"/>
    </row>
    <row r="412" spans="1:9" x14ac:dyDescent="0.25">
      <c r="A412"/>
      <c r="D412"/>
      <c r="I412"/>
    </row>
    <row r="413" spans="1:9" x14ac:dyDescent="0.25">
      <c r="A413"/>
      <c r="D413"/>
      <c r="I413"/>
    </row>
    <row r="414" spans="1:9" x14ac:dyDescent="0.25">
      <c r="A414"/>
      <c r="D414"/>
      <c r="I414"/>
    </row>
    <row r="415" spans="1:9" x14ac:dyDescent="0.25">
      <c r="A415"/>
      <c r="D415"/>
      <c r="I415"/>
    </row>
    <row r="416" spans="1:9" x14ac:dyDescent="0.25">
      <c r="A416"/>
      <c r="D416"/>
      <c r="I416"/>
    </row>
    <row r="417" spans="1:9" x14ac:dyDescent="0.25">
      <c r="A417"/>
      <c r="D417"/>
      <c r="I417"/>
    </row>
    <row r="418" spans="1:9" x14ac:dyDescent="0.25">
      <c r="A418"/>
      <c r="D418"/>
      <c r="I418"/>
    </row>
    <row r="419" spans="1:9" x14ac:dyDescent="0.25">
      <c r="A419"/>
      <c r="D419"/>
      <c r="I419"/>
    </row>
    <row r="420" spans="1:9" x14ac:dyDescent="0.25">
      <c r="A420"/>
      <c r="D420"/>
      <c r="I420"/>
    </row>
    <row r="421" spans="1:9" x14ac:dyDescent="0.25">
      <c r="A421"/>
      <c r="D421"/>
      <c r="I421"/>
    </row>
    <row r="422" spans="1:9" x14ac:dyDescent="0.25">
      <c r="A422"/>
      <c r="D422"/>
      <c r="I422"/>
    </row>
    <row r="423" spans="1:9" x14ac:dyDescent="0.25">
      <c r="A423"/>
      <c r="D423"/>
      <c r="I423"/>
    </row>
    <row r="424" spans="1:9" x14ac:dyDescent="0.25">
      <c r="A424"/>
      <c r="D424"/>
      <c r="I424"/>
    </row>
    <row r="425" spans="1:9" x14ac:dyDescent="0.25">
      <c r="A425"/>
      <c r="D425"/>
      <c r="I425"/>
    </row>
    <row r="426" spans="1:9" x14ac:dyDescent="0.25">
      <c r="A426"/>
      <c r="D426"/>
      <c r="I426"/>
    </row>
    <row r="427" spans="1:9" x14ac:dyDescent="0.25">
      <c r="A427"/>
      <c r="D427"/>
      <c r="I427"/>
    </row>
    <row r="428" spans="1:9" x14ac:dyDescent="0.25">
      <c r="A428"/>
      <c r="D428"/>
      <c r="I428"/>
    </row>
    <row r="429" spans="1:9" x14ac:dyDescent="0.25">
      <c r="A429"/>
      <c r="D429"/>
      <c r="I429"/>
    </row>
    <row r="430" spans="1:9" x14ac:dyDescent="0.25">
      <c r="A430"/>
      <c r="D430"/>
      <c r="I430"/>
    </row>
    <row r="431" spans="1:9" x14ac:dyDescent="0.25">
      <c r="A431"/>
      <c r="D431"/>
      <c r="I431"/>
    </row>
    <row r="432" spans="1:9" x14ac:dyDescent="0.25">
      <c r="A432"/>
      <c r="D432"/>
      <c r="I432"/>
    </row>
    <row r="433" spans="1:9" x14ac:dyDescent="0.25">
      <c r="A433"/>
      <c r="D433"/>
      <c r="I433"/>
    </row>
    <row r="434" spans="1:9" x14ac:dyDescent="0.25">
      <c r="A434"/>
      <c r="D434"/>
      <c r="I434"/>
    </row>
    <row r="435" spans="1:9" x14ac:dyDescent="0.25">
      <c r="A435"/>
      <c r="D435"/>
      <c r="I435"/>
    </row>
    <row r="436" spans="1:9" x14ac:dyDescent="0.25">
      <c r="A436"/>
      <c r="D436"/>
      <c r="I436"/>
    </row>
    <row r="437" spans="1:9" x14ac:dyDescent="0.25">
      <c r="A437"/>
      <c r="D437"/>
      <c r="I437"/>
    </row>
    <row r="438" spans="1:9" x14ac:dyDescent="0.25">
      <c r="A438"/>
      <c r="D438"/>
      <c r="I438"/>
    </row>
    <row r="439" spans="1:9" x14ac:dyDescent="0.25">
      <c r="A439"/>
      <c r="D439"/>
      <c r="I439"/>
    </row>
    <row r="440" spans="1:9" x14ac:dyDescent="0.25">
      <c r="A440"/>
      <c r="D440"/>
      <c r="I440"/>
    </row>
    <row r="441" spans="1:9" x14ac:dyDescent="0.25">
      <c r="A441"/>
      <c r="D441"/>
      <c r="I441"/>
    </row>
    <row r="442" spans="1:9" x14ac:dyDescent="0.25">
      <c r="A442"/>
      <c r="D442"/>
      <c r="I442"/>
    </row>
    <row r="443" spans="1:9" x14ac:dyDescent="0.25">
      <c r="A443"/>
      <c r="D443"/>
      <c r="I443"/>
    </row>
    <row r="444" spans="1:9" x14ac:dyDescent="0.25">
      <c r="A444"/>
      <c r="D444"/>
      <c r="I444"/>
    </row>
    <row r="445" spans="1:9" x14ac:dyDescent="0.25">
      <c r="A445"/>
      <c r="D445"/>
      <c r="I445"/>
    </row>
    <row r="446" spans="1:9" x14ac:dyDescent="0.25">
      <c r="A446"/>
      <c r="D446"/>
      <c r="I446"/>
    </row>
    <row r="447" spans="1:9" x14ac:dyDescent="0.25">
      <c r="A447"/>
      <c r="D447"/>
      <c r="I447"/>
    </row>
    <row r="448" spans="1:9" x14ac:dyDescent="0.25">
      <c r="A448"/>
      <c r="D448"/>
      <c r="I448"/>
    </row>
    <row r="449" spans="1:9" x14ac:dyDescent="0.25">
      <c r="A449"/>
      <c r="D449"/>
      <c r="I449"/>
    </row>
    <row r="450" spans="1:9" x14ac:dyDescent="0.25">
      <c r="A450"/>
      <c r="D450"/>
      <c r="I450"/>
    </row>
    <row r="451" spans="1:9" x14ac:dyDescent="0.25">
      <c r="A451"/>
      <c r="D451"/>
      <c r="I451"/>
    </row>
    <row r="452" spans="1:9" x14ac:dyDescent="0.25">
      <c r="A452"/>
      <c r="D452"/>
      <c r="I452"/>
    </row>
    <row r="453" spans="1:9" x14ac:dyDescent="0.25">
      <c r="A453"/>
      <c r="D453"/>
      <c r="I453"/>
    </row>
    <row r="454" spans="1:9" x14ac:dyDescent="0.25">
      <c r="A454"/>
      <c r="D454"/>
      <c r="I454"/>
    </row>
    <row r="455" spans="1:9" x14ac:dyDescent="0.25">
      <c r="A455"/>
      <c r="D455"/>
      <c r="I455"/>
    </row>
    <row r="456" spans="1:9" x14ac:dyDescent="0.25">
      <c r="A456"/>
      <c r="D456"/>
      <c r="I456"/>
    </row>
    <row r="457" spans="1:9" x14ac:dyDescent="0.25">
      <c r="A457"/>
      <c r="D457"/>
      <c r="I457"/>
    </row>
    <row r="458" spans="1:9" x14ac:dyDescent="0.25">
      <c r="A458"/>
      <c r="D458"/>
      <c r="I458"/>
    </row>
    <row r="459" spans="1:9" x14ac:dyDescent="0.25">
      <c r="A459"/>
      <c r="D459"/>
      <c r="I459"/>
    </row>
    <row r="460" spans="1:9" x14ac:dyDescent="0.25">
      <c r="A460"/>
      <c r="D460"/>
      <c r="I460"/>
    </row>
    <row r="461" spans="1:9" x14ac:dyDescent="0.25">
      <c r="A461"/>
      <c r="D461"/>
      <c r="I461"/>
    </row>
    <row r="462" spans="1:9" x14ac:dyDescent="0.25">
      <c r="A462"/>
      <c r="D462"/>
      <c r="I462"/>
    </row>
    <row r="463" spans="1:9" x14ac:dyDescent="0.25">
      <c r="A463"/>
      <c r="D463"/>
      <c r="I463"/>
    </row>
    <row r="464" spans="1:9" x14ac:dyDescent="0.25">
      <c r="A464"/>
      <c r="D464"/>
      <c r="I464"/>
    </row>
    <row r="465" spans="1:9" x14ac:dyDescent="0.25">
      <c r="A465"/>
      <c r="D465"/>
      <c r="I465"/>
    </row>
    <row r="466" spans="1:9" x14ac:dyDescent="0.25">
      <c r="A466"/>
      <c r="D466"/>
      <c r="I466"/>
    </row>
    <row r="467" spans="1:9" x14ac:dyDescent="0.25">
      <c r="A467"/>
      <c r="D467"/>
      <c r="I467"/>
    </row>
    <row r="468" spans="1:9" x14ac:dyDescent="0.25">
      <c r="A468"/>
      <c r="D468"/>
      <c r="I468"/>
    </row>
    <row r="469" spans="1:9" x14ac:dyDescent="0.25">
      <c r="A469"/>
      <c r="D469"/>
      <c r="I469"/>
    </row>
    <row r="470" spans="1:9" x14ac:dyDescent="0.25">
      <c r="A470"/>
      <c r="D470"/>
      <c r="I470"/>
    </row>
    <row r="471" spans="1:9" x14ac:dyDescent="0.25">
      <c r="A471"/>
      <c r="D471"/>
      <c r="I471"/>
    </row>
    <row r="472" spans="1:9" x14ac:dyDescent="0.25">
      <c r="A472"/>
      <c r="D472"/>
      <c r="I472"/>
    </row>
    <row r="473" spans="1:9" x14ac:dyDescent="0.25">
      <c r="A473"/>
      <c r="D473"/>
      <c r="I473"/>
    </row>
    <row r="474" spans="1:9" x14ac:dyDescent="0.25">
      <c r="A474"/>
      <c r="D474"/>
      <c r="I474"/>
    </row>
    <row r="475" spans="1:9" x14ac:dyDescent="0.25">
      <c r="A475"/>
      <c r="D475"/>
      <c r="I475"/>
    </row>
    <row r="476" spans="1:9" x14ac:dyDescent="0.25">
      <c r="A476"/>
      <c r="D476"/>
      <c r="I476"/>
    </row>
    <row r="477" spans="1:9" x14ac:dyDescent="0.25">
      <c r="A477"/>
      <c r="D477"/>
      <c r="I477"/>
    </row>
    <row r="478" spans="1:9" x14ac:dyDescent="0.25">
      <c r="A478"/>
      <c r="D478"/>
      <c r="I478"/>
    </row>
    <row r="479" spans="1:9" x14ac:dyDescent="0.25">
      <c r="A479"/>
      <c r="D479"/>
      <c r="I479"/>
    </row>
    <row r="480" spans="1:9" x14ac:dyDescent="0.25">
      <c r="A480"/>
      <c r="D480"/>
      <c r="I480"/>
    </row>
    <row r="481" spans="1:9" x14ac:dyDescent="0.25">
      <c r="A481"/>
      <c r="D481"/>
      <c r="I481"/>
    </row>
    <row r="482" spans="1:9" x14ac:dyDescent="0.25">
      <c r="A482"/>
      <c r="D482"/>
      <c r="I482"/>
    </row>
    <row r="483" spans="1:9" x14ac:dyDescent="0.25">
      <c r="A483"/>
      <c r="D483"/>
      <c r="I483"/>
    </row>
    <row r="484" spans="1:9" x14ac:dyDescent="0.25">
      <c r="A484"/>
      <c r="D484"/>
      <c r="I484"/>
    </row>
    <row r="485" spans="1:9" x14ac:dyDescent="0.25">
      <c r="A485"/>
      <c r="D485"/>
      <c r="I485"/>
    </row>
    <row r="486" spans="1:9" x14ac:dyDescent="0.25">
      <c r="A486"/>
      <c r="D486"/>
      <c r="I486"/>
    </row>
    <row r="487" spans="1:9" x14ac:dyDescent="0.25">
      <c r="A487"/>
      <c r="D487"/>
      <c r="I487"/>
    </row>
    <row r="488" spans="1:9" x14ac:dyDescent="0.25">
      <c r="A488"/>
      <c r="D488"/>
      <c r="I488"/>
    </row>
    <row r="489" spans="1:9" x14ac:dyDescent="0.25">
      <c r="A489"/>
      <c r="D489"/>
      <c r="I489"/>
    </row>
    <row r="490" spans="1:9" x14ac:dyDescent="0.25">
      <c r="A490"/>
      <c r="D490"/>
      <c r="I490"/>
    </row>
    <row r="491" spans="1:9" x14ac:dyDescent="0.25">
      <c r="A491"/>
      <c r="D491"/>
      <c r="I491"/>
    </row>
    <row r="492" spans="1:9" x14ac:dyDescent="0.25">
      <c r="A492"/>
      <c r="D492"/>
      <c r="I492"/>
    </row>
    <row r="493" spans="1:9" x14ac:dyDescent="0.25">
      <c r="A493"/>
      <c r="D493"/>
      <c r="I493"/>
    </row>
    <row r="494" spans="1:9" x14ac:dyDescent="0.25">
      <c r="A494"/>
      <c r="D494"/>
      <c r="I494"/>
    </row>
    <row r="495" spans="1:9" x14ac:dyDescent="0.25">
      <c r="A495"/>
      <c r="D495"/>
      <c r="I495"/>
    </row>
    <row r="496" spans="1:9" x14ac:dyDescent="0.25">
      <c r="A496"/>
      <c r="D496"/>
      <c r="I496"/>
    </row>
    <row r="497" spans="1:9" x14ac:dyDescent="0.25">
      <c r="A497"/>
      <c r="D497"/>
      <c r="I497"/>
    </row>
    <row r="498" spans="1:9" x14ac:dyDescent="0.25">
      <c r="A498"/>
      <c r="D498"/>
      <c r="I498"/>
    </row>
    <row r="499" spans="1:9" x14ac:dyDescent="0.25">
      <c r="A499"/>
      <c r="D499"/>
      <c r="I499"/>
    </row>
    <row r="500" spans="1:9" x14ac:dyDescent="0.25">
      <c r="A500"/>
      <c r="D500"/>
      <c r="I500"/>
    </row>
    <row r="501" spans="1:9" x14ac:dyDescent="0.25">
      <c r="A501"/>
      <c r="D501"/>
      <c r="I501"/>
    </row>
    <row r="502" spans="1:9" x14ac:dyDescent="0.25">
      <c r="A502"/>
      <c r="D502"/>
      <c r="I502"/>
    </row>
    <row r="503" spans="1:9" x14ac:dyDescent="0.25">
      <c r="A503"/>
      <c r="D503"/>
      <c r="I503"/>
    </row>
    <row r="504" spans="1:9" x14ac:dyDescent="0.25">
      <c r="A504"/>
      <c r="D504"/>
      <c r="I504"/>
    </row>
    <row r="505" spans="1:9" x14ac:dyDescent="0.25">
      <c r="A505"/>
      <c r="D505"/>
      <c r="I505"/>
    </row>
    <row r="506" spans="1:9" x14ac:dyDescent="0.25">
      <c r="A506"/>
      <c r="D506"/>
      <c r="I506"/>
    </row>
    <row r="507" spans="1:9" x14ac:dyDescent="0.25">
      <c r="A507"/>
      <c r="D507"/>
      <c r="I507"/>
    </row>
    <row r="508" spans="1:9" x14ac:dyDescent="0.25">
      <c r="A508"/>
      <c r="D508"/>
      <c r="I508"/>
    </row>
    <row r="509" spans="1:9" x14ac:dyDescent="0.25">
      <c r="A509"/>
      <c r="D509"/>
      <c r="I509"/>
    </row>
    <row r="510" spans="1:9" x14ac:dyDescent="0.25">
      <c r="A510"/>
      <c r="D510"/>
      <c r="I510"/>
    </row>
    <row r="511" spans="1:9" x14ac:dyDescent="0.25">
      <c r="A511"/>
      <c r="D511"/>
      <c r="I511"/>
    </row>
    <row r="512" spans="1:9" x14ac:dyDescent="0.25">
      <c r="A512"/>
      <c r="D512"/>
      <c r="I512"/>
    </row>
    <row r="513" spans="1:9" x14ac:dyDescent="0.25">
      <c r="A513"/>
      <c r="D513"/>
      <c r="I513"/>
    </row>
    <row r="514" spans="1:9" x14ac:dyDescent="0.25">
      <c r="A514"/>
      <c r="D514"/>
      <c r="I514"/>
    </row>
    <row r="515" spans="1:9" x14ac:dyDescent="0.25">
      <c r="A515"/>
      <c r="D515"/>
      <c r="I515"/>
    </row>
    <row r="516" spans="1:9" x14ac:dyDescent="0.25">
      <c r="A516"/>
      <c r="D516"/>
      <c r="I516"/>
    </row>
    <row r="517" spans="1:9" x14ac:dyDescent="0.25">
      <c r="A517"/>
      <c r="D517"/>
      <c r="I517"/>
    </row>
    <row r="518" spans="1:9" x14ac:dyDescent="0.25">
      <c r="A518"/>
      <c r="D518"/>
      <c r="I518"/>
    </row>
    <row r="519" spans="1:9" x14ac:dyDescent="0.25">
      <c r="A519"/>
      <c r="D519"/>
      <c r="I519"/>
    </row>
    <row r="520" spans="1:9" x14ac:dyDescent="0.25">
      <c r="A520"/>
      <c r="D520"/>
      <c r="I520"/>
    </row>
    <row r="521" spans="1:9" x14ac:dyDescent="0.25">
      <c r="A521"/>
      <c r="D521"/>
      <c r="I521"/>
    </row>
    <row r="522" spans="1:9" x14ac:dyDescent="0.25">
      <c r="A522"/>
      <c r="D522"/>
      <c r="I522"/>
    </row>
    <row r="523" spans="1:9" x14ac:dyDescent="0.25">
      <c r="A523"/>
      <c r="D523"/>
      <c r="I523"/>
    </row>
    <row r="524" spans="1:9" x14ac:dyDescent="0.25">
      <c r="A524"/>
      <c r="D524"/>
      <c r="I524"/>
    </row>
    <row r="525" spans="1:9" x14ac:dyDescent="0.25">
      <c r="A525"/>
      <c r="D525"/>
      <c r="I525"/>
    </row>
    <row r="526" spans="1:9" x14ac:dyDescent="0.25">
      <c r="A526"/>
      <c r="D526"/>
      <c r="I526"/>
    </row>
    <row r="527" spans="1:9" x14ac:dyDescent="0.25">
      <c r="A527"/>
      <c r="D527"/>
      <c r="I527"/>
    </row>
    <row r="528" spans="1:9" x14ac:dyDescent="0.25">
      <c r="A528"/>
      <c r="D528"/>
      <c r="I528"/>
    </row>
    <row r="529" spans="1:9" x14ac:dyDescent="0.25">
      <c r="A529"/>
      <c r="D529"/>
      <c r="I529"/>
    </row>
    <row r="530" spans="1:9" x14ac:dyDescent="0.25">
      <c r="A530"/>
      <c r="D530"/>
      <c r="I530"/>
    </row>
    <row r="531" spans="1:9" x14ac:dyDescent="0.25">
      <c r="A531"/>
      <c r="D531"/>
      <c r="I531"/>
    </row>
    <row r="532" spans="1:9" x14ac:dyDescent="0.25">
      <c r="A532"/>
      <c r="D532"/>
      <c r="I532"/>
    </row>
    <row r="533" spans="1:9" x14ac:dyDescent="0.25">
      <c r="A533"/>
      <c r="D533"/>
      <c r="I533"/>
    </row>
    <row r="534" spans="1:9" x14ac:dyDescent="0.25">
      <c r="A534"/>
      <c r="D534"/>
      <c r="I534"/>
    </row>
    <row r="535" spans="1:9" x14ac:dyDescent="0.25">
      <c r="A535"/>
      <c r="D535"/>
      <c r="I535"/>
    </row>
    <row r="536" spans="1:9" x14ac:dyDescent="0.25">
      <c r="A536"/>
      <c r="D536"/>
      <c r="I536"/>
    </row>
    <row r="537" spans="1:9" x14ac:dyDescent="0.25">
      <c r="A537"/>
      <c r="D537"/>
      <c r="I537"/>
    </row>
    <row r="538" spans="1:9" x14ac:dyDescent="0.25">
      <c r="A538"/>
      <c r="D538"/>
      <c r="I538"/>
    </row>
    <row r="539" spans="1:9" x14ac:dyDescent="0.25">
      <c r="A539"/>
      <c r="D539"/>
      <c r="I539"/>
    </row>
    <row r="540" spans="1:9" x14ac:dyDescent="0.25">
      <c r="A540"/>
      <c r="D540"/>
      <c r="I540"/>
    </row>
    <row r="541" spans="1:9" x14ac:dyDescent="0.25">
      <c r="A541"/>
      <c r="D541"/>
      <c r="I541"/>
    </row>
    <row r="542" spans="1:9" x14ac:dyDescent="0.25">
      <c r="A542"/>
      <c r="D542"/>
      <c r="I542"/>
    </row>
    <row r="543" spans="1:9" x14ac:dyDescent="0.25">
      <c r="A543"/>
      <c r="D543"/>
      <c r="I543"/>
    </row>
    <row r="544" spans="1:9" x14ac:dyDescent="0.25">
      <c r="A544"/>
      <c r="D544"/>
      <c r="I544"/>
    </row>
    <row r="545" spans="1:9" x14ac:dyDescent="0.25">
      <c r="A545"/>
      <c r="D545"/>
      <c r="I545"/>
    </row>
    <row r="546" spans="1:9" x14ac:dyDescent="0.25">
      <c r="A546"/>
      <c r="D546"/>
      <c r="I546"/>
    </row>
    <row r="547" spans="1:9" x14ac:dyDescent="0.25">
      <c r="A547"/>
      <c r="D547"/>
      <c r="I547"/>
    </row>
    <row r="548" spans="1:9" x14ac:dyDescent="0.25">
      <c r="A548"/>
      <c r="D548"/>
      <c r="I548"/>
    </row>
    <row r="549" spans="1:9" x14ac:dyDescent="0.25">
      <c r="A549"/>
      <c r="D549"/>
      <c r="I549"/>
    </row>
    <row r="550" spans="1:9" x14ac:dyDescent="0.25">
      <c r="A550"/>
      <c r="D550"/>
      <c r="I550"/>
    </row>
    <row r="551" spans="1:9" x14ac:dyDescent="0.25">
      <c r="A551"/>
      <c r="D551"/>
      <c r="I551"/>
    </row>
    <row r="552" spans="1:9" x14ac:dyDescent="0.25">
      <c r="A552"/>
      <c r="D552"/>
      <c r="I552"/>
    </row>
    <row r="553" spans="1:9" x14ac:dyDescent="0.25">
      <c r="A553"/>
      <c r="D553"/>
      <c r="I553"/>
    </row>
    <row r="554" spans="1:9" x14ac:dyDescent="0.25">
      <c r="A554"/>
      <c r="D554"/>
      <c r="I554"/>
    </row>
    <row r="555" spans="1:9" x14ac:dyDescent="0.25">
      <c r="A555"/>
      <c r="D555"/>
      <c r="I555"/>
    </row>
    <row r="556" spans="1:9" x14ac:dyDescent="0.25">
      <c r="A556"/>
      <c r="D556"/>
      <c r="I556"/>
    </row>
    <row r="557" spans="1:9" x14ac:dyDescent="0.25">
      <c r="A557"/>
      <c r="D557"/>
      <c r="I557"/>
    </row>
    <row r="558" spans="1:9" x14ac:dyDescent="0.25">
      <c r="A558"/>
      <c r="D558"/>
      <c r="I558"/>
    </row>
    <row r="559" spans="1:9" x14ac:dyDescent="0.25">
      <c r="A559"/>
      <c r="D559"/>
      <c r="I559"/>
    </row>
    <row r="560" spans="1:9" x14ac:dyDescent="0.25">
      <c r="A560"/>
      <c r="D560"/>
      <c r="I560"/>
    </row>
    <row r="561" spans="1:9" x14ac:dyDescent="0.25">
      <c r="A561"/>
      <c r="D561"/>
      <c r="I561"/>
    </row>
    <row r="562" spans="1:9" x14ac:dyDescent="0.25">
      <c r="A562"/>
      <c r="D562"/>
      <c r="I562"/>
    </row>
    <row r="563" spans="1:9" x14ac:dyDescent="0.25">
      <c r="A563"/>
      <c r="D563"/>
      <c r="I563"/>
    </row>
    <row r="564" spans="1:9" x14ac:dyDescent="0.25">
      <c r="A564"/>
      <c r="D564"/>
      <c r="I564"/>
    </row>
    <row r="565" spans="1:9" x14ac:dyDescent="0.25">
      <c r="A565"/>
      <c r="D565"/>
      <c r="I565"/>
    </row>
    <row r="566" spans="1:9" x14ac:dyDescent="0.25">
      <c r="A566"/>
      <c r="D566"/>
      <c r="I566"/>
    </row>
    <row r="567" spans="1:9" x14ac:dyDescent="0.25">
      <c r="A567"/>
      <c r="D567"/>
      <c r="I567"/>
    </row>
    <row r="568" spans="1:9" x14ac:dyDescent="0.25">
      <c r="A568"/>
      <c r="D568"/>
      <c r="I568"/>
    </row>
    <row r="569" spans="1:9" x14ac:dyDescent="0.25">
      <c r="A569"/>
      <c r="D569"/>
      <c r="I569"/>
    </row>
    <row r="570" spans="1:9" x14ac:dyDescent="0.25">
      <c r="A570"/>
      <c r="D570"/>
      <c r="I570"/>
    </row>
    <row r="571" spans="1:9" x14ac:dyDescent="0.25">
      <c r="A571"/>
      <c r="D571"/>
      <c r="I571"/>
    </row>
    <row r="572" spans="1:9" x14ac:dyDescent="0.25">
      <c r="A572"/>
      <c r="D572"/>
      <c r="I572"/>
    </row>
    <row r="573" spans="1:9" x14ac:dyDescent="0.25">
      <c r="A573"/>
      <c r="D573"/>
      <c r="I573"/>
    </row>
    <row r="574" spans="1:9" x14ac:dyDescent="0.25">
      <c r="A574"/>
      <c r="D574"/>
      <c r="I574"/>
    </row>
    <row r="575" spans="1:9" x14ac:dyDescent="0.25">
      <c r="A575"/>
      <c r="D575"/>
      <c r="I575"/>
    </row>
    <row r="576" spans="1:9" x14ac:dyDescent="0.25">
      <c r="A576"/>
      <c r="D576"/>
      <c r="I576"/>
    </row>
    <row r="577" spans="1:9" x14ac:dyDescent="0.25">
      <c r="A577"/>
      <c r="D577"/>
      <c r="I577"/>
    </row>
    <row r="578" spans="1:9" x14ac:dyDescent="0.25">
      <c r="A578"/>
      <c r="D578"/>
      <c r="I578"/>
    </row>
    <row r="579" spans="1:9" x14ac:dyDescent="0.25">
      <c r="A579"/>
      <c r="D579"/>
      <c r="I579"/>
    </row>
    <row r="580" spans="1:9" x14ac:dyDescent="0.25">
      <c r="A580"/>
      <c r="D580"/>
      <c r="I580"/>
    </row>
    <row r="581" spans="1:9" x14ac:dyDescent="0.25">
      <c r="A581"/>
      <c r="D581"/>
      <c r="I581"/>
    </row>
    <row r="582" spans="1:9" x14ac:dyDescent="0.25">
      <c r="A582"/>
      <c r="D582"/>
      <c r="I582"/>
    </row>
    <row r="583" spans="1:9" x14ac:dyDescent="0.25">
      <c r="A583"/>
      <c r="D583"/>
      <c r="I583"/>
    </row>
    <row r="584" spans="1:9" x14ac:dyDescent="0.25">
      <c r="A584"/>
      <c r="D584"/>
      <c r="I584"/>
    </row>
    <row r="585" spans="1:9" x14ac:dyDescent="0.25">
      <c r="A585"/>
      <c r="D585"/>
      <c r="I585"/>
    </row>
    <row r="586" spans="1:9" x14ac:dyDescent="0.25">
      <c r="A586"/>
      <c r="D586"/>
      <c r="I586"/>
    </row>
    <row r="587" spans="1:9" x14ac:dyDescent="0.25">
      <c r="A587"/>
      <c r="D587"/>
      <c r="I587"/>
    </row>
    <row r="588" spans="1:9" x14ac:dyDescent="0.25">
      <c r="A588"/>
      <c r="D588"/>
      <c r="I588"/>
    </row>
    <row r="589" spans="1:9" x14ac:dyDescent="0.25">
      <c r="A589"/>
      <c r="D589"/>
      <c r="I589"/>
    </row>
    <row r="590" spans="1:9" x14ac:dyDescent="0.25">
      <c r="A590"/>
      <c r="D590"/>
      <c r="I590"/>
    </row>
    <row r="591" spans="1:9" x14ac:dyDescent="0.25">
      <c r="A591"/>
      <c r="D591"/>
      <c r="I591"/>
    </row>
    <row r="592" spans="1:9" x14ac:dyDescent="0.25">
      <c r="A592"/>
      <c r="D592"/>
      <c r="I592"/>
    </row>
    <row r="593" spans="1:9" x14ac:dyDescent="0.25">
      <c r="A593"/>
      <c r="D593"/>
      <c r="I593"/>
    </row>
    <row r="594" spans="1:9" x14ac:dyDescent="0.25">
      <c r="A594"/>
      <c r="D594"/>
      <c r="I594"/>
    </row>
    <row r="595" spans="1:9" x14ac:dyDescent="0.25">
      <c r="A595"/>
      <c r="D595"/>
      <c r="I595"/>
    </row>
    <row r="596" spans="1:9" x14ac:dyDescent="0.25">
      <c r="A596"/>
      <c r="D596"/>
      <c r="I596"/>
    </row>
    <row r="597" spans="1:9" x14ac:dyDescent="0.25">
      <c r="A597"/>
      <c r="D597"/>
      <c r="I597"/>
    </row>
    <row r="598" spans="1:9" x14ac:dyDescent="0.25">
      <c r="A598"/>
      <c r="D598"/>
      <c r="I598"/>
    </row>
    <row r="599" spans="1:9" x14ac:dyDescent="0.25">
      <c r="A599"/>
      <c r="D599"/>
      <c r="I599"/>
    </row>
    <row r="600" spans="1:9" x14ac:dyDescent="0.25">
      <c r="A600"/>
      <c r="D600"/>
      <c r="I600"/>
    </row>
    <row r="601" spans="1:9" x14ac:dyDescent="0.25">
      <c r="A601"/>
      <c r="D601"/>
      <c r="I601"/>
    </row>
    <row r="602" spans="1:9" x14ac:dyDescent="0.25">
      <c r="A602"/>
      <c r="D602"/>
      <c r="I602"/>
    </row>
    <row r="603" spans="1:9" x14ac:dyDescent="0.25">
      <c r="A603"/>
      <c r="D603"/>
      <c r="I603"/>
    </row>
    <row r="604" spans="1:9" x14ac:dyDescent="0.25">
      <c r="A604"/>
      <c r="D604"/>
      <c r="I604"/>
    </row>
    <row r="605" spans="1:9" x14ac:dyDescent="0.25">
      <c r="A605"/>
      <c r="D605"/>
      <c r="I605"/>
    </row>
    <row r="606" spans="1:9" x14ac:dyDescent="0.25">
      <c r="A606"/>
      <c r="D606"/>
      <c r="I606"/>
    </row>
    <row r="607" spans="1:9" x14ac:dyDescent="0.25">
      <c r="A607"/>
      <c r="D607"/>
      <c r="I607"/>
    </row>
    <row r="608" spans="1:9" x14ac:dyDescent="0.25">
      <c r="A608"/>
      <c r="D608"/>
      <c r="I608"/>
    </row>
    <row r="609" spans="1:9" x14ac:dyDescent="0.25">
      <c r="A609"/>
      <c r="D609"/>
      <c r="I609"/>
    </row>
    <row r="610" spans="1:9" x14ac:dyDescent="0.25">
      <c r="A610"/>
      <c r="D610"/>
      <c r="I610"/>
    </row>
    <row r="611" spans="1:9" x14ac:dyDescent="0.25">
      <c r="A611"/>
      <c r="D611"/>
      <c r="I611"/>
    </row>
    <row r="612" spans="1:9" x14ac:dyDescent="0.25">
      <c r="A612"/>
      <c r="D612"/>
      <c r="I612"/>
    </row>
    <row r="613" spans="1:9" x14ac:dyDescent="0.25">
      <c r="A613"/>
      <c r="D613"/>
      <c r="I613"/>
    </row>
    <row r="614" spans="1:9" x14ac:dyDescent="0.25">
      <c r="A614"/>
      <c r="D614"/>
      <c r="I614"/>
    </row>
    <row r="615" spans="1:9" x14ac:dyDescent="0.25">
      <c r="A615"/>
      <c r="D615"/>
      <c r="I615"/>
    </row>
    <row r="616" spans="1:9" x14ac:dyDescent="0.25">
      <c r="A616"/>
      <c r="D616"/>
      <c r="I616"/>
    </row>
    <row r="617" spans="1:9" x14ac:dyDescent="0.25">
      <c r="A617"/>
      <c r="D617"/>
      <c r="I617"/>
    </row>
    <row r="618" spans="1:9" x14ac:dyDescent="0.25">
      <c r="A618"/>
      <c r="D618"/>
      <c r="I618"/>
    </row>
    <row r="619" spans="1:9" x14ac:dyDescent="0.25">
      <c r="A619"/>
      <c r="D619"/>
      <c r="I619"/>
    </row>
    <row r="620" spans="1:9" x14ac:dyDescent="0.25">
      <c r="A620"/>
      <c r="D620"/>
      <c r="I620"/>
    </row>
    <row r="621" spans="1:9" x14ac:dyDescent="0.25">
      <c r="A621"/>
      <c r="D621"/>
      <c r="I621"/>
    </row>
    <row r="622" spans="1:9" x14ac:dyDescent="0.25">
      <c r="A622"/>
      <c r="D622"/>
      <c r="I622"/>
    </row>
    <row r="623" spans="1:9" x14ac:dyDescent="0.25">
      <c r="A623"/>
      <c r="D623"/>
      <c r="I623"/>
    </row>
    <row r="624" spans="1:9" x14ac:dyDescent="0.25">
      <c r="A624"/>
      <c r="D624"/>
      <c r="I624"/>
    </row>
    <row r="625" spans="1:9" x14ac:dyDescent="0.25">
      <c r="A625"/>
      <c r="D625"/>
      <c r="I625"/>
    </row>
    <row r="626" spans="1:9" x14ac:dyDescent="0.25">
      <c r="A626"/>
      <c r="D626"/>
      <c r="I626"/>
    </row>
    <row r="627" spans="1:9" x14ac:dyDescent="0.25">
      <c r="A627"/>
      <c r="D627"/>
      <c r="I627"/>
    </row>
    <row r="628" spans="1:9" x14ac:dyDescent="0.25">
      <c r="A628"/>
      <c r="D628"/>
      <c r="I628"/>
    </row>
    <row r="629" spans="1:9" x14ac:dyDescent="0.25">
      <c r="A629"/>
      <c r="D629"/>
      <c r="I629"/>
    </row>
    <row r="630" spans="1:9" x14ac:dyDescent="0.25">
      <c r="A630"/>
      <c r="D630"/>
      <c r="I630"/>
    </row>
    <row r="631" spans="1:9" x14ac:dyDescent="0.25">
      <c r="A631"/>
      <c r="D631"/>
      <c r="I631"/>
    </row>
    <row r="632" spans="1:9" x14ac:dyDescent="0.25">
      <c r="A632"/>
      <c r="D632"/>
      <c r="I632"/>
    </row>
    <row r="633" spans="1:9" x14ac:dyDescent="0.25">
      <c r="A633"/>
      <c r="D633"/>
      <c r="I633"/>
    </row>
    <row r="634" spans="1:9" x14ac:dyDescent="0.25">
      <c r="A634"/>
      <c r="D634"/>
      <c r="I634"/>
    </row>
    <row r="635" spans="1:9" x14ac:dyDescent="0.25">
      <c r="A635"/>
      <c r="D635"/>
      <c r="I635"/>
    </row>
    <row r="636" spans="1:9" x14ac:dyDescent="0.25">
      <c r="A636"/>
      <c r="D636"/>
      <c r="I636"/>
    </row>
    <row r="637" spans="1:9" x14ac:dyDescent="0.25">
      <c r="A637"/>
      <c r="D637"/>
      <c r="I637"/>
    </row>
    <row r="638" spans="1:9" x14ac:dyDescent="0.25">
      <c r="A638"/>
      <c r="D638"/>
      <c r="I638"/>
    </row>
    <row r="639" spans="1:9" x14ac:dyDescent="0.25">
      <c r="A639"/>
      <c r="D639"/>
      <c r="I639"/>
    </row>
    <row r="640" spans="1:9" x14ac:dyDescent="0.25">
      <c r="A640"/>
      <c r="D640"/>
      <c r="I640"/>
    </row>
    <row r="641" spans="1:9" x14ac:dyDescent="0.25">
      <c r="A641"/>
      <c r="D641"/>
      <c r="I641"/>
    </row>
    <row r="642" spans="1:9" x14ac:dyDescent="0.25">
      <c r="A642"/>
      <c r="D642"/>
      <c r="I642"/>
    </row>
    <row r="643" spans="1:9" x14ac:dyDescent="0.25">
      <c r="A643"/>
      <c r="D643"/>
      <c r="I643"/>
    </row>
    <row r="644" spans="1:9" x14ac:dyDescent="0.25">
      <c r="A644"/>
      <c r="D644"/>
      <c r="I644"/>
    </row>
    <row r="645" spans="1:9" x14ac:dyDescent="0.25">
      <c r="A645"/>
      <c r="D645"/>
      <c r="I645"/>
    </row>
    <row r="646" spans="1:9" x14ac:dyDescent="0.25">
      <c r="A646"/>
      <c r="D646"/>
      <c r="I646"/>
    </row>
    <row r="647" spans="1:9" x14ac:dyDescent="0.25">
      <c r="A647"/>
      <c r="D647"/>
      <c r="I647"/>
    </row>
    <row r="648" spans="1:9" x14ac:dyDescent="0.25">
      <c r="A648"/>
      <c r="D648"/>
      <c r="I648"/>
    </row>
    <row r="649" spans="1:9" x14ac:dyDescent="0.25">
      <c r="A649"/>
      <c r="D649"/>
      <c r="I649"/>
    </row>
    <row r="650" spans="1:9" x14ac:dyDescent="0.25">
      <c r="A650"/>
      <c r="D650"/>
      <c r="I650"/>
    </row>
    <row r="651" spans="1:9" x14ac:dyDescent="0.25">
      <c r="A651"/>
      <c r="D651"/>
      <c r="I651"/>
    </row>
    <row r="652" spans="1:9" x14ac:dyDescent="0.25">
      <c r="A652"/>
      <c r="D652"/>
      <c r="I652"/>
    </row>
    <row r="653" spans="1:9" x14ac:dyDescent="0.25">
      <c r="A653"/>
      <c r="D653"/>
      <c r="I653"/>
    </row>
    <row r="654" spans="1:9" x14ac:dyDescent="0.25">
      <c r="A654"/>
      <c r="D654"/>
      <c r="I654"/>
    </row>
    <row r="655" spans="1:9" x14ac:dyDescent="0.25">
      <c r="A655"/>
      <c r="D655"/>
      <c r="I655"/>
    </row>
    <row r="656" spans="1:9" x14ac:dyDescent="0.25">
      <c r="A656"/>
      <c r="D656"/>
      <c r="I656"/>
    </row>
    <row r="657" spans="1:9" x14ac:dyDescent="0.25">
      <c r="A657"/>
      <c r="D657"/>
      <c r="I657"/>
    </row>
    <row r="658" spans="1:9" x14ac:dyDescent="0.25">
      <c r="A658"/>
      <c r="D658"/>
      <c r="I658"/>
    </row>
    <row r="659" spans="1:9" x14ac:dyDescent="0.25">
      <c r="A659"/>
      <c r="D659"/>
      <c r="I659"/>
    </row>
    <row r="660" spans="1:9" x14ac:dyDescent="0.25">
      <c r="A660"/>
      <c r="D660"/>
      <c r="I660"/>
    </row>
    <row r="661" spans="1:9" x14ac:dyDescent="0.25">
      <c r="A661"/>
      <c r="D661"/>
      <c r="I661"/>
    </row>
    <row r="662" spans="1:9" x14ac:dyDescent="0.25">
      <c r="A662"/>
      <c r="D662"/>
      <c r="I662"/>
    </row>
    <row r="663" spans="1:9" x14ac:dyDescent="0.25">
      <c r="A663"/>
      <c r="D663"/>
      <c r="I663"/>
    </row>
    <row r="664" spans="1:9" x14ac:dyDescent="0.25">
      <c r="A664"/>
      <c r="D664"/>
      <c r="I664"/>
    </row>
    <row r="665" spans="1:9" x14ac:dyDescent="0.25">
      <c r="A665"/>
      <c r="D665"/>
      <c r="I665"/>
    </row>
    <row r="666" spans="1:9" x14ac:dyDescent="0.25">
      <c r="A666"/>
      <c r="D666"/>
      <c r="I666"/>
    </row>
    <row r="667" spans="1:9" x14ac:dyDescent="0.25">
      <c r="A667"/>
      <c r="D667"/>
      <c r="I667"/>
    </row>
    <row r="668" spans="1:9" x14ac:dyDescent="0.25">
      <c r="A668"/>
      <c r="D668"/>
      <c r="I668"/>
    </row>
    <row r="669" spans="1:9" x14ac:dyDescent="0.25">
      <c r="A669"/>
      <c r="D669"/>
      <c r="I669"/>
    </row>
    <row r="670" spans="1:9" x14ac:dyDescent="0.25">
      <c r="A670"/>
      <c r="D670"/>
      <c r="I670"/>
    </row>
    <row r="671" spans="1:9" x14ac:dyDescent="0.25">
      <c r="A671"/>
      <c r="D671"/>
      <c r="I671"/>
    </row>
    <row r="672" spans="1:9" x14ac:dyDescent="0.25">
      <c r="A672"/>
      <c r="D672"/>
      <c r="I672"/>
    </row>
    <row r="673" spans="1:9" x14ac:dyDescent="0.25">
      <c r="A673"/>
      <c r="D673"/>
      <c r="I673"/>
    </row>
    <row r="674" spans="1:9" x14ac:dyDescent="0.25">
      <c r="A674"/>
      <c r="D674"/>
      <c r="I674"/>
    </row>
    <row r="675" spans="1:9" x14ac:dyDescent="0.25">
      <c r="A675"/>
      <c r="D675"/>
      <c r="I675"/>
    </row>
    <row r="676" spans="1:9" x14ac:dyDescent="0.25">
      <c r="A676"/>
      <c r="D676"/>
      <c r="I676"/>
    </row>
    <row r="677" spans="1:9" x14ac:dyDescent="0.25">
      <c r="A677"/>
      <c r="D677"/>
      <c r="I677"/>
    </row>
    <row r="678" spans="1:9" x14ac:dyDescent="0.25">
      <c r="A678"/>
      <c r="D678"/>
      <c r="I678"/>
    </row>
    <row r="679" spans="1:9" x14ac:dyDescent="0.25">
      <c r="A679"/>
      <c r="D679"/>
      <c r="I679"/>
    </row>
    <row r="680" spans="1:9" x14ac:dyDescent="0.25">
      <c r="A680"/>
      <c r="D680"/>
      <c r="I680"/>
    </row>
    <row r="681" spans="1:9" x14ac:dyDescent="0.25">
      <c r="A681"/>
      <c r="D681"/>
      <c r="I681"/>
    </row>
    <row r="682" spans="1:9" x14ac:dyDescent="0.25">
      <c r="A682"/>
      <c r="D682"/>
      <c r="I682"/>
    </row>
    <row r="683" spans="1:9" x14ac:dyDescent="0.25">
      <c r="A683"/>
      <c r="D683"/>
      <c r="I683"/>
    </row>
    <row r="684" spans="1:9" x14ac:dyDescent="0.25">
      <c r="A684"/>
      <c r="D684"/>
      <c r="I684"/>
    </row>
    <row r="685" spans="1:9" x14ac:dyDescent="0.25">
      <c r="A685"/>
      <c r="D685"/>
      <c r="I685"/>
    </row>
    <row r="686" spans="1:9" x14ac:dyDescent="0.25">
      <c r="A686"/>
      <c r="D686"/>
      <c r="I686"/>
    </row>
    <row r="687" spans="1:9" x14ac:dyDescent="0.25">
      <c r="A687"/>
      <c r="D687"/>
      <c r="I687"/>
    </row>
    <row r="688" spans="1:9" x14ac:dyDescent="0.25">
      <c r="A688"/>
      <c r="D688"/>
      <c r="I688"/>
    </row>
    <row r="689" spans="1:9" x14ac:dyDescent="0.25">
      <c r="A689"/>
      <c r="D689"/>
      <c r="I689"/>
    </row>
    <row r="690" spans="1:9" x14ac:dyDescent="0.25">
      <c r="A690"/>
      <c r="D690"/>
      <c r="I690"/>
    </row>
    <row r="691" spans="1:9" x14ac:dyDescent="0.25">
      <c r="A691"/>
      <c r="D691"/>
      <c r="I691"/>
    </row>
    <row r="692" spans="1:9" x14ac:dyDescent="0.25">
      <c r="A692"/>
      <c r="D692"/>
      <c r="I692"/>
    </row>
    <row r="693" spans="1:9" x14ac:dyDescent="0.25">
      <c r="A693"/>
      <c r="D693"/>
      <c r="I693"/>
    </row>
    <row r="694" spans="1:9" x14ac:dyDescent="0.25">
      <c r="A694"/>
      <c r="D694"/>
      <c r="I694"/>
    </row>
    <row r="695" spans="1:9" x14ac:dyDescent="0.25">
      <c r="A695"/>
      <c r="D695"/>
      <c r="I695"/>
    </row>
    <row r="696" spans="1:9" x14ac:dyDescent="0.25">
      <c r="A696"/>
      <c r="D696"/>
      <c r="I696"/>
    </row>
    <row r="697" spans="1:9" x14ac:dyDescent="0.25">
      <c r="A697"/>
      <c r="D697"/>
      <c r="I697"/>
    </row>
    <row r="698" spans="1:9" x14ac:dyDescent="0.25">
      <c r="A698"/>
      <c r="D698"/>
      <c r="I698"/>
    </row>
    <row r="699" spans="1:9" x14ac:dyDescent="0.25">
      <c r="A699"/>
      <c r="D699"/>
      <c r="I699"/>
    </row>
    <row r="700" spans="1:9" x14ac:dyDescent="0.25">
      <c r="A700"/>
      <c r="D700"/>
      <c r="I700"/>
    </row>
    <row r="701" spans="1:9" x14ac:dyDescent="0.25">
      <c r="A701"/>
      <c r="D701"/>
      <c r="I701"/>
    </row>
    <row r="702" spans="1:9" x14ac:dyDescent="0.25">
      <c r="A702"/>
      <c r="D702"/>
      <c r="I702"/>
    </row>
    <row r="703" spans="1:9" x14ac:dyDescent="0.25">
      <c r="A703"/>
      <c r="D703"/>
      <c r="I703"/>
    </row>
    <row r="704" spans="1:9" x14ac:dyDescent="0.25">
      <c r="A704"/>
      <c r="D704"/>
      <c r="I704"/>
    </row>
    <row r="705" spans="1:9" x14ac:dyDescent="0.25">
      <c r="A705"/>
      <c r="D705"/>
      <c r="I705"/>
    </row>
    <row r="706" spans="1:9" x14ac:dyDescent="0.25">
      <c r="A706"/>
      <c r="D706"/>
      <c r="I706"/>
    </row>
    <row r="707" spans="1:9" x14ac:dyDescent="0.25">
      <c r="A707"/>
      <c r="D707"/>
      <c r="I707"/>
    </row>
    <row r="708" spans="1:9" x14ac:dyDescent="0.25">
      <c r="A708"/>
      <c r="D708"/>
      <c r="I708"/>
    </row>
    <row r="709" spans="1:9" x14ac:dyDescent="0.25">
      <c r="A709"/>
      <c r="D709"/>
      <c r="I709"/>
    </row>
    <row r="710" spans="1:9" x14ac:dyDescent="0.25">
      <c r="A710"/>
      <c r="D710"/>
      <c r="I710"/>
    </row>
    <row r="711" spans="1:9" x14ac:dyDescent="0.25">
      <c r="A711"/>
      <c r="D711"/>
      <c r="I711"/>
    </row>
    <row r="712" spans="1:9" x14ac:dyDescent="0.25">
      <c r="A712"/>
      <c r="D712"/>
      <c r="I712"/>
    </row>
    <row r="713" spans="1:9" x14ac:dyDescent="0.25">
      <c r="A713"/>
      <c r="D713"/>
      <c r="I713"/>
    </row>
    <row r="714" spans="1:9" x14ac:dyDescent="0.25">
      <c r="A714"/>
      <c r="D714"/>
      <c r="I714"/>
    </row>
    <row r="715" spans="1:9" x14ac:dyDescent="0.25">
      <c r="A715"/>
      <c r="D715"/>
      <c r="I715"/>
    </row>
    <row r="716" spans="1:9" x14ac:dyDescent="0.25">
      <c r="A716"/>
      <c r="D716"/>
      <c r="I716"/>
    </row>
    <row r="717" spans="1:9" x14ac:dyDescent="0.25">
      <c r="A717"/>
      <c r="D717"/>
      <c r="I717"/>
    </row>
    <row r="718" spans="1:9" x14ac:dyDescent="0.25">
      <c r="A718"/>
      <c r="D718"/>
      <c r="I718"/>
    </row>
    <row r="719" spans="1:9" x14ac:dyDescent="0.25">
      <c r="A719"/>
      <c r="D719"/>
      <c r="I719"/>
    </row>
    <row r="720" spans="1:9" x14ac:dyDescent="0.25">
      <c r="A720"/>
      <c r="D720"/>
      <c r="I720"/>
    </row>
    <row r="721" spans="1:9" x14ac:dyDescent="0.25">
      <c r="A721"/>
      <c r="D721"/>
      <c r="I721"/>
    </row>
    <row r="722" spans="1:9" x14ac:dyDescent="0.25">
      <c r="A722"/>
      <c r="D722"/>
      <c r="I722"/>
    </row>
    <row r="723" spans="1:9" x14ac:dyDescent="0.25">
      <c r="A723"/>
      <c r="D723"/>
      <c r="I723"/>
    </row>
    <row r="724" spans="1:9" x14ac:dyDescent="0.25">
      <c r="A724"/>
      <c r="D724"/>
      <c r="I724"/>
    </row>
    <row r="725" spans="1:9" x14ac:dyDescent="0.25">
      <c r="A725"/>
      <c r="D725"/>
      <c r="I725"/>
    </row>
    <row r="726" spans="1:9" x14ac:dyDescent="0.25">
      <c r="A726"/>
      <c r="D726"/>
      <c r="I726"/>
    </row>
    <row r="727" spans="1:9" x14ac:dyDescent="0.25">
      <c r="A727"/>
      <c r="D727"/>
      <c r="I727"/>
    </row>
    <row r="728" spans="1:9" x14ac:dyDescent="0.25">
      <c r="A728"/>
      <c r="D728"/>
      <c r="I728"/>
    </row>
    <row r="729" spans="1:9" x14ac:dyDescent="0.25">
      <c r="A729"/>
      <c r="D729"/>
      <c r="I729"/>
    </row>
    <row r="730" spans="1:9" x14ac:dyDescent="0.25">
      <c r="A730"/>
      <c r="D730"/>
      <c r="I730"/>
    </row>
    <row r="731" spans="1:9" x14ac:dyDescent="0.25">
      <c r="A731"/>
      <c r="D731"/>
      <c r="I731"/>
    </row>
    <row r="732" spans="1:9" x14ac:dyDescent="0.25">
      <c r="A732"/>
      <c r="D732"/>
      <c r="I732"/>
    </row>
    <row r="733" spans="1:9" x14ac:dyDescent="0.25">
      <c r="A733"/>
      <c r="D733"/>
      <c r="I733"/>
    </row>
    <row r="734" spans="1:9" x14ac:dyDescent="0.25">
      <c r="A734"/>
      <c r="D734"/>
      <c r="I734"/>
    </row>
    <row r="735" spans="1:9" x14ac:dyDescent="0.25">
      <c r="A735"/>
      <c r="D735"/>
      <c r="I735"/>
    </row>
    <row r="736" spans="1:9" x14ac:dyDescent="0.25">
      <c r="A736"/>
      <c r="D736"/>
      <c r="I736"/>
    </row>
    <row r="737" spans="1:9" x14ac:dyDescent="0.25">
      <c r="A737"/>
      <c r="D737"/>
      <c r="I737"/>
    </row>
    <row r="738" spans="1:9" x14ac:dyDescent="0.25">
      <c r="A738"/>
      <c r="D738"/>
      <c r="I738"/>
    </row>
    <row r="739" spans="1:9" x14ac:dyDescent="0.25">
      <c r="A739"/>
      <c r="D739"/>
      <c r="I739"/>
    </row>
    <row r="740" spans="1:9" x14ac:dyDescent="0.25">
      <c r="A740"/>
      <c r="D740"/>
      <c r="I740"/>
    </row>
    <row r="741" spans="1:9" x14ac:dyDescent="0.25">
      <c r="A741"/>
      <c r="D741"/>
      <c r="I741"/>
    </row>
    <row r="742" spans="1:9" x14ac:dyDescent="0.25">
      <c r="A742"/>
      <c r="D742"/>
      <c r="I742"/>
    </row>
    <row r="743" spans="1:9" x14ac:dyDescent="0.25">
      <c r="A743"/>
      <c r="D743"/>
      <c r="I743"/>
    </row>
    <row r="744" spans="1:9" x14ac:dyDescent="0.25">
      <c r="A744"/>
      <c r="D744"/>
      <c r="I744"/>
    </row>
    <row r="745" spans="1:9" x14ac:dyDescent="0.25">
      <c r="A745"/>
      <c r="D745"/>
      <c r="I745"/>
    </row>
    <row r="746" spans="1:9" x14ac:dyDescent="0.25">
      <c r="A746"/>
      <c r="D746"/>
      <c r="I746"/>
    </row>
    <row r="747" spans="1:9" x14ac:dyDescent="0.25">
      <c r="A747"/>
      <c r="D747"/>
      <c r="I747"/>
    </row>
    <row r="748" spans="1:9" x14ac:dyDescent="0.25">
      <c r="A748"/>
      <c r="D748"/>
      <c r="I748"/>
    </row>
    <row r="749" spans="1:9" x14ac:dyDescent="0.25">
      <c r="A749"/>
      <c r="D749"/>
      <c r="I749"/>
    </row>
    <row r="750" spans="1:9" x14ac:dyDescent="0.25">
      <c r="A750"/>
      <c r="D750"/>
      <c r="I750"/>
    </row>
    <row r="751" spans="1:9" x14ac:dyDescent="0.25">
      <c r="A751"/>
      <c r="D751"/>
      <c r="I751"/>
    </row>
    <row r="752" spans="1:9" x14ac:dyDescent="0.25">
      <c r="A752"/>
      <c r="D752"/>
      <c r="I752"/>
    </row>
    <row r="753" spans="1:9" x14ac:dyDescent="0.25">
      <c r="A753"/>
      <c r="D753"/>
      <c r="I753"/>
    </row>
    <row r="754" spans="1:9" x14ac:dyDescent="0.25">
      <c r="A754"/>
      <c r="D754"/>
      <c r="I754"/>
    </row>
    <row r="755" spans="1:9" x14ac:dyDescent="0.25">
      <c r="A755"/>
      <c r="D755"/>
      <c r="I755"/>
    </row>
    <row r="756" spans="1:9" x14ac:dyDescent="0.25">
      <c r="A756"/>
      <c r="D756"/>
      <c r="I756"/>
    </row>
    <row r="757" spans="1:9" x14ac:dyDescent="0.25">
      <c r="A757"/>
      <c r="D757"/>
      <c r="I757"/>
    </row>
    <row r="758" spans="1:9" x14ac:dyDescent="0.25">
      <c r="A758"/>
      <c r="D758"/>
      <c r="I758"/>
    </row>
    <row r="759" spans="1:9" x14ac:dyDescent="0.25">
      <c r="A759"/>
      <c r="D759"/>
      <c r="I759"/>
    </row>
    <row r="760" spans="1:9" x14ac:dyDescent="0.25">
      <c r="A760"/>
      <c r="D760"/>
      <c r="I760"/>
    </row>
    <row r="761" spans="1:9" x14ac:dyDescent="0.25">
      <c r="A761"/>
      <c r="D761"/>
      <c r="I761"/>
    </row>
    <row r="762" spans="1:9" x14ac:dyDescent="0.25">
      <c r="A762"/>
      <c r="D762"/>
      <c r="I762"/>
    </row>
    <row r="763" spans="1:9" x14ac:dyDescent="0.25">
      <c r="A763"/>
      <c r="D763"/>
      <c r="I763"/>
    </row>
    <row r="764" spans="1:9" x14ac:dyDescent="0.25">
      <c r="A764"/>
      <c r="D764"/>
      <c r="I764"/>
    </row>
    <row r="765" spans="1:9" x14ac:dyDescent="0.25">
      <c r="A765"/>
      <c r="D765"/>
      <c r="I765"/>
    </row>
    <row r="766" spans="1:9" x14ac:dyDescent="0.25">
      <c r="A766"/>
      <c r="D766"/>
      <c r="I766"/>
    </row>
    <row r="767" spans="1:9" x14ac:dyDescent="0.25">
      <c r="A767"/>
      <c r="D767"/>
      <c r="I767"/>
    </row>
    <row r="768" spans="1:9" x14ac:dyDescent="0.25">
      <c r="A768"/>
      <c r="D768"/>
      <c r="I768"/>
    </row>
    <row r="769" spans="1:9" x14ac:dyDescent="0.25">
      <c r="A769"/>
      <c r="D769"/>
      <c r="I769"/>
    </row>
    <row r="770" spans="1:9" x14ac:dyDescent="0.25">
      <c r="A770"/>
      <c r="D770"/>
      <c r="I770"/>
    </row>
    <row r="771" spans="1:9" x14ac:dyDescent="0.25">
      <c r="A771"/>
      <c r="D771"/>
      <c r="I771"/>
    </row>
    <row r="772" spans="1:9" x14ac:dyDescent="0.25">
      <c r="A772"/>
      <c r="D772"/>
      <c r="I772"/>
    </row>
    <row r="773" spans="1:9" x14ac:dyDescent="0.25">
      <c r="A773"/>
      <c r="D773"/>
      <c r="I773"/>
    </row>
    <row r="774" spans="1:9" x14ac:dyDescent="0.25">
      <c r="A774"/>
      <c r="D774"/>
      <c r="I774"/>
    </row>
    <row r="775" spans="1:9" x14ac:dyDescent="0.25">
      <c r="A775"/>
      <c r="D775"/>
      <c r="I775"/>
    </row>
    <row r="776" spans="1:9" x14ac:dyDescent="0.25">
      <c r="A776"/>
      <c r="D776"/>
      <c r="I776"/>
    </row>
    <row r="777" spans="1:9" x14ac:dyDescent="0.25">
      <c r="A777"/>
      <c r="D777"/>
      <c r="I777"/>
    </row>
    <row r="778" spans="1:9" x14ac:dyDescent="0.25">
      <c r="A778"/>
      <c r="D778"/>
      <c r="I778"/>
    </row>
    <row r="779" spans="1:9" x14ac:dyDescent="0.25">
      <c r="A779"/>
      <c r="D779"/>
      <c r="I779"/>
    </row>
    <row r="780" spans="1:9" x14ac:dyDescent="0.25">
      <c r="A780"/>
      <c r="D780"/>
      <c r="I780"/>
    </row>
    <row r="781" spans="1:9" x14ac:dyDescent="0.25">
      <c r="A781"/>
      <c r="D781"/>
      <c r="I781"/>
    </row>
    <row r="782" spans="1:9" x14ac:dyDescent="0.25">
      <c r="A782"/>
      <c r="D782"/>
      <c r="I782"/>
    </row>
    <row r="783" spans="1:9" x14ac:dyDescent="0.25">
      <c r="A783"/>
      <c r="D783"/>
      <c r="I783"/>
    </row>
    <row r="784" spans="1:9" x14ac:dyDescent="0.25">
      <c r="A784"/>
      <c r="D784"/>
      <c r="I784"/>
    </row>
    <row r="785" spans="1:9" x14ac:dyDescent="0.25">
      <c r="A785"/>
      <c r="D785"/>
      <c r="I785"/>
    </row>
    <row r="786" spans="1:9" x14ac:dyDescent="0.25">
      <c r="A786"/>
      <c r="D786"/>
      <c r="I786"/>
    </row>
    <row r="787" spans="1:9" x14ac:dyDescent="0.25">
      <c r="A787"/>
      <c r="D787"/>
      <c r="I787"/>
    </row>
    <row r="788" spans="1:9" x14ac:dyDescent="0.25">
      <c r="A788"/>
      <c r="D788"/>
      <c r="I788"/>
    </row>
    <row r="789" spans="1:9" x14ac:dyDescent="0.25">
      <c r="A789"/>
      <c r="D789"/>
      <c r="I789"/>
    </row>
    <row r="790" spans="1:9" x14ac:dyDescent="0.25">
      <c r="A790"/>
      <c r="D790"/>
      <c r="I790"/>
    </row>
    <row r="791" spans="1:9" x14ac:dyDescent="0.25">
      <c r="A791"/>
      <c r="D791"/>
      <c r="I791"/>
    </row>
    <row r="792" spans="1:9" x14ac:dyDescent="0.25">
      <c r="A792"/>
      <c r="D792"/>
      <c r="I792"/>
    </row>
    <row r="793" spans="1:9" x14ac:dyDescent="0.25">
      <c r="A793"/>
      <c r="D793"/>
      <c r="I793"/>
    </row>
    <row r="794" spans="1:9" x14ac:dyDescent="0.25">
      <c r="A794"/>
      <c r="D794"/>
      <c r="I794"/>
    </row>
    <row r="795" spans="1:9" x14ac:dyDescent="0.25">
      <c r="A795"/>
      <c r="D795"/>
      <c r="I795"/>
    </row>
    <row r="796" spans="1:9" x14ac:dyDescent="0.25">
      <c r="A796"/>
      <c r="D796"/>
      <c r="I796"/>
    </row>
    <row r="797" spans="1:9" x14ac:dyDescent="0.25">
      <c r="A797"/>
      <c r="D797"/>
      <c r="I797"/>
    </row>
    <row r="798" spans="1:9" x14ac:dyDescent="0.25">
      <c r="A798"/>
      <c r="D798"/>
      <c r="I798"/>
    </row>
    <row r="799" spans="1:9" x14ac:dyDescent="0.25">
      <c r="A799"/>
      <c r="D799"/>
      <c r="I799"/>
    </row>
    <row r="800" spans="1:9" x14ac:dyDescent="0.25">
      <c r="A800"/>
      <c r="D800"/>
      <c r="I800"/>
    </row>
    <row r="801" spans="1:9" x14ac:dyDescent="0.25">
      <c r="A801"/>
      <c r="D801"/>
      <c r="I801"/>
    </row>
    <row r="802" spans="1:9" x14ac:dyDescent="0.25">
      <c r="A802"/>
      <c r="D802"/>
      <c r="I802"/>
    </row>
    <row r="803" spans="1:9" x14ac:dyDescent="0.25">
      <c r="A803"/>
      <c r="D803"/>
      <c r="I803"/>
    </row>
    <row r="804" spans="1:9" x14ac:dyDescent="0.25">
      <c r="A804"/>
      <c r="D804"/>
      <c r="I804"/>
    </row>
    <row r="805" spans="1:9" x14ac:dyDescent="0.25">
      <c r="A805"/>
      <c r="D805"/>
      <c r="I805"/>
    </row>
    <row r="806" spans="1:9" x14ac:dyDescent="0.25">
      <c r="A806"/>
      <c r="D806"/>
      <c r="I806"/>
    </row>
    <row r="807" spans="1:9" x14ac:dyDescent="0.25">
      <c r="A807"/>
      <c r="D807"/>
      <c r="I807"/>
    </row>
    <row r="808" spans="1:9" x14ac:dyDescent="0.25">
      <c r="A808"/>
      <c r="D808"/>
      <c r="I808"/>
    </row>
    <row r="809" spans="1:9" x14ac:dyDescent="0.25">
      <c r="A809"/>
      <c r="D809"/>
      <c r="I809"/>
    </row>
    <row r="810" spans="1:9" x14ac:dyDescent="0.25">
      <c r="A810"/>
      <c r="D810"/>
      <c r="I810"/>
    </row>
    <row r="811" spans="1:9" x14ac:dyDescent="0.25">
      <c r="A811"/>
      <c r="D811"/>
      <c r="I811"/>
    </row>
    <row r="812" spans="1:9" x14ac:dyDescent="0.25">
      <c r="A812"/>
      <c r="D812"/>
      <c r="I812"/>
    </row>
    <row r="813" spans="1:9" x14ac:dyDescent="0.25">
      <c r="A813"/>
      <c r="D813"/>
      <c r="I813"/>
    </row>
    <row r="814" spans="1:9" x14ac:dyDescent="0.25">
      <c r="A814"/>
      <c r="D814"/>
      <c r="I814"/>
    </row>
    <row r="815" spans="1:9" x14ac:dyDescent="0.25">
      <c r="A815"/>
      <c r="D815"/>
      <c r="I815"/>
    </row>
    <row r="816" spans="1:9" x14ac:dyDescent="0.25">
      <c r="A816"/>
      <c r="D816"/>
      <c r="I816"/>
    </row>
    <row r="817" spans="1:9" x14ac:dyDescent="0.25">
      <c r="A817"/>
      <c r="D817"/>
      <c r="I817"/>
    </row>
    <row r="818" spans="1:9" x14ac:dyDescent="0.25">
      <c r="A818"/>
      <c r="D818"/>
      <c r="I818"/>
    </row>
    <row r="819" spans="1:9" x14ac:dyDescent="0.25">
      <c r="A819"/>
      <c r="D819"/>
      <c r="I819"/>
    </row>
    <row r="820" spans="1:9" x14ac:dyDescent="0.25">
      <c r="A820"/>
      <c r="D820"/>
      <c r="I820"/>
    </row>
    <row r="821" spans="1:9" x14ac:dyDescent="0.25">
      <c r="A821"/>
      <c r="D821"/>
      <c r="I821"/>
    </row>
    <row r="822" spans="1:9" x14ac:dyDescent="0.25">
      <c r="A822"/>
      <c r="D822"/>
      <c r="I822"/>
    </row>
    <row r="823" spans="1:9" x14ac:dyDescent="0.25">
      <c r="A823"/>
      <c r="D823"/>
      <c r="I823"/>
    </row>
    <row r="824" spans="1:9" x14ac:dyDescent="0.25">
      <c r="A824"/>
      <c r="D824"/>
      <c r="I824"/>
    </row>
    <row r="825" spans="1:9" x14ac:dyDescent="0.25">
      <c r="A825"/>
      <c r="D825"/>
      <c r="I825"/>
    </row>
    <row r="826" spans="1:9" x14ac:dyDescent="0.25">
      <c r="A826"/>
      <c r="D826"/>
      <c r="I826"/>
    </row>
    <row r="827" spans="1:9" x14ac:dyDescent="0.25">
      <c r="A827"/>
      <c r="D827"/>
      <c r="I827"/>
    </row>
    <row r="828" spans="1:9" x14ac:dyDescent="0.25">
      <c r="A828"/>
      <c r="D828"/>
      <c r="I828"/>
    </row>
    <row r="829" spans="1:9" x14ac:dyDescent="0.25">
      <c r="A829"/>
      <c r="D829"/>
      <c r="I829"/>
    </row>
    <row r="830" spans="1:9" x14ac:dyDescent="0.25">
      <c r="A830"/>
      <c r="D830"/>
      <c r="I830"/>
    </row>
    <row r="831" spans="1:9" x14ac:dyDescent="0.25">
      <c r="A831"/>
      <c r="D831"/>
      <c r="I831"/>
    </row>
    <row r="832" spans="1:9" x14ac:dyDescent="0.25">
      <c r="A832"/>
      <c r="D832"/>
      <c r="I832"/>
    </row>
    <row r="833" spans="1:9" x14ac:dyDescent="0.25">
      <c r="A833"/>
      <c r="D833"/>
      <c r="I833"/>
    </row>
    <row r="834" spans="1:9" x14ac:dyDescent="0.25">
      <c r="A834"/>
      <c r="D834"/>
      <c r="I834"/>
    </row>
    <row r="835" spans="1:9" x14ac:dyDescent="0.25">
      <c r="A835"/>
      <c r="D835"/>
      <c r="I835"/>
    </row>
    <row r="836" spans="1:9" x14ac:dyDescent="0.25">
      <c r="A836"/>
      <c r="D836"/>
      <c r="I836"/>
    </row>
    <row r="837" spans="1:9" x14ac:dyDescent="0.25">
      <c r="A837"/>
      <c r="D837"/>
      <c r="I837"/>
    </row>
    <row r="838" spans="1:9" x14ac:dyDescent="0.25">
      <c r="A838"/>
      <c r="D838"/>
      <c r="I838"/>
    </row>
    <row r="839" spans="1:9" x14ac:dyDescent="0.25">
      <c r="A839"/>
      <c r="D839"/>
      <c r="I839"/>
    </row>
    <row r="840" spans="1:9" x14ac:dyDescent="0.25">
      <c r="A840"/>
      <c r="D840"/>
      <c r="I840"/>
    </row>
    <row r="841" spans="1:9" x14ac:dyDescent="0.25">
      <c r="A841"/>
      <c r="D841"/>
      <c r="I841"/>
    </row>
    <row r="842" spans="1:9" x14ac:dyDescent="0.25">
      <c r="A842"/>
      <c r="D842"/>
      <c r="I842"/>
    </row>
    <row r="843" spans="1:9" x14ac:dyDescent="0.25">
      <c r="A843"/>
      <c r="D843"/>
      <c r="I843"/>
    </row>
    <row r="844" spans="1:9" x14ac:dyDescent="0.25">
      <c r="A844"/>
      <c r="D844"/>
      <c r="I844"/>
    </row>
    <row r="845" spans="1:9" x14ac:dyDescent="0.25">
      <c r="A845"/>
      <c r="D845"/>
      <c r="I845"/>
    </row>
    <row r="846" spans="1:9" x14ac:dyDescent="0.25">
      <c r="A846"/>
      <c r="D846"/>
      <c r="I846"/>
    </row>
    <row r="847" spans="1:9" x14ac:dyDescent="0.25">
      <c r="A847"/>
      <c r="D847"/>
      <c r="I847"/>
    </row>
    <row r="848" spans="1:9" x14ac:dyDescent="0.25">
      <c r="A848"/>
      <c r="D848"/>
      <c r="I848"/>
    </row>
    <row r="849" spans="1:9" x14ac:dyDescent="0.25">
      <c r="A849"/>
      <c r="D849"/>
      <c r="I849"/>
    </row>
    <row r="850" spans="1:9" x14ac:dyDescent="0.25">
      <c r="A850"/>
      <c r="D850"/>
      <c r="I850"/>
    </row>
    <row r="851" spans="1:9" x14ac:dyDescent="0.25">
      <c r="A851"/>
      <c r="D851"/>
      <c r="I851"/>
    </row>
    <row r="852" spans="1:9" x14ac:dyDescent="0.25">
      <c r="A852"/>
      <c r="D852"/>
      <c r="I852"/>
    </row>
    <row r="853" spans="1:9" x14ac:dyDescent="0.25">
      <c r="A853"/>
      <c r="D853"/>
      <c r="I853"/>
    </row>
    <row r="854" spans="1:9" x14ac:dyDescent="0.25">
      <c r="A854"/>
      <c r="D854"/>
      <c r="I854"/>
    </row>
    <row r="855" spans="1:9" x14ac:dyDescent="0.25">
      <c r="A855"/>
      <c r="D855"/>
      <c r="I855"/>
    </row>
    <row r="856" spans="1:9" x14ac:dyDescent="0.25">
      <c r="A856"/>
      <c r="D856"/>
      <c r="I856"/>
    </row>
    <row r="857" spans="1:9" x14ac:dyDescent="0.25">
      <c r="A857"/>
      <c r="D857"/>
      <c r="I857"/>
    </row>
    <row r="858" spans="1:9" x14ac:dyDescent="0.25">
      <c r="A858"/>
      <c r="D858"/>
      <c r="I858"/>
    </row>
    <row r="859" spans="1:9" x14ac:dyDescent="0.25">
      <c r="A859"/>
      <c r="D859"/>
      <c r="I859"/>
    </row>
    <row r="860" spans="1:9" x14ac:dyDescent="0.25">
      <c r="A860"/>
      <c r="D860"/>
      <c r="I860"/>
    </row>
    <row r="861" spans="1:9" x14ac:dyDescent="0.25">
      <c r="A861"/>
      <c r="D861"/>
      <c r="I861"/>
    </row>
    <row r="862" spans="1:9" x14ac:dyDescent="0.25">
      <c r="A862"/>
      <c r="D862"/>
      <c r="I862"/>
    </row>
    <row r="863" spans="1:9" x14ac:dyDescent="0.25">
      <c r="A863"/>
      <c r="D863"/>
      <c r="I863"/>
    </row>
    <row r="864" spans="1:9" x14ac:dyDescent="0.25">
      <c r="A864"/>
      <c r="D864"/>
      <c r="I864"/>
    </row>
    <row r="865" spans="1:9" x14ac:dyDescent="0.25">
      <c r="A865"/>
      <c r="D865"/>
      <c r="I865"/>
    </row>
    <row r="866" spans="1:9" x14ac:dyDescent="0.25">
      <c r="A866"/>
      <c r="D866"/>
      <c r="I866"/>
    </row>
    <row r="867" spans="1:9" x14ac:dyDescent="0.25">
      <c r="A867"/>
      <c r="D867"/>
      <c r="I867"/>
    </row>
    <row r="868" spans="1:9" x14ac:dyDescent="0.25">
      <c r="A868"/>
      <c r="D868"/>
      <c r="I868"/>
    </row>
    <row r="869" spans="1:9" x14ac:dyDescent="0.25">
      <c r="A869"/>
      <c r="D869"/>
      <c r="I869"/>
    </row>
    <row r="870" spans="1:9" x14ac:dyDescent="0.25">
      <c r="A870"/>
      <c r="D870"/>
      <c r="I870"/>
    </row>
    <row r="871" spans="1:9" x14ac:dyDescent="0.25">
      <c r="A871"/>
      <c r="D871"/>
      <c r="I871"/>
    </row>
    <row r="872" spans="1:9" x14ac:dyDescent="0.25">
      <c r="A872"/>
      <c r="D872"/>
      <c r="I872"/>
    </row>
    <row r="873" spans="1:9" x14ac:dyDescent="0.25">
      <c r="A873"/>
      <c r="D873"/>
      <c r="I873"/>
    </row>
    <row r="874" spans="1:9" x14ac:dyDescent="0.25">
      <c r="A874"/>
      <c r="D874"/>
      <c r="I874"/>
    </row>
    <row r="875" spans="1:9" x14ac:dyDescent="0.25">
      <c r="A875"/>
      <c r="D875"/>
      <c r="I875"/>
    </row>
    <row r="876" spans="1:9" x14ac:dyDescent="0.25">
      <c r="A876"/>
      <c r="D876"/>
      <c r="I876"/>
    </row>
    <row r="877" spans="1:9" x14ac:dyDescent="0.25">
      <c r="A877"/>
      <c r="D877"/>
      <c r="I877"/>
    </row>
    <row r="878" spans="1:9" x14ac:dyDescent="0.25">
      <c r="A878"/>
      <c r="D878"/>
      <c r="I878"/>
    </row>
    <row r="879" spans="1:9" x14ac:dyDescent="0.25">
      <c r="A879"/>
      <c r="D879"/>
      <c r="I879"/>
    </row>
    <row r="880" spans="1:9" x14ac:dyDescent="0.25">
      <c r="A880"/>
      <c r="D880"/>
      <c r="I880"/>
    </row>
    <row r="881" spans="1:9" x14ac:dyDescent="0.25">
      <c r="A881"/>
      <c r="D881"/>
      <c r="I881"/>
    </row>
    <row r="882" spans="1:9" x14ac:dyDescent="0.25">
      <c r="A882"/>
      <c r="D882"/>
      <c r="I882"/>
    </row>
    <row r="883" spans="1:9" x14ac:dyDescent="0.25">
      <c r="A883"/>
      <c r="D883"/>
      <c r="I883"/>
    </row>
    <row r="884" spans="1:9" x14ac:dyDescent="0.25">
      <c r="A884"/>
      <c r="D884"/>
      <c r="I884"/>
    </row>
    <row r="885" spans="1:9" x14ac:dyDescent="0.25">
      <c r="A885"/>
      <c r="D885"/>
      <c r="I885"/>
    </row>
    <row r="886" spans="1:9" x14ac:dyDescent="0.25">
      <c r="A886"/>
      <c r="D886"/>
      <c r="I886"/>
    </row>
    <row r="887" spans="1:9" x14ac:dyDescent="0.25">
      <c r="A887"/>
      <c r="D887"/>
      <c r="I887"/>
    </row>
    <row r="888" spans="1:9" x14ac:dyDescent="0.25">
      <c r="A888"/>
      <c r="D888"/>
      <c r="I888"/>
    </row>
    <row r="889" spans="1:9" x14ac:dyDescent="0.25">
      <c r="A889"/>
      <c r="D889"/>
      <c r="I889"/>
    </row>
    <row r="890" spans="1:9" x14ac:dyDescent="0.25">
      <c r="A890"/>
      <c r="D890"/>
      <c r="I890"/>
    </row>
    <row r="891" spans="1:9" x14ac:dyDescent="0.25">
      <c r="A891"/>
      <c r="D891"/>
      <c r="I891"/>
    </row>
    <row r="892" spans="1:9" x14ac:dyDescent="0.25">
      <c r="A892"/>
      <c r="D892"/>
      <c r="I892"/>
    </row>
    <row r="893" spans="1:9" x14ac:dyDescent="0.25">
      <c r="A893"/>
      <c r="D893"/>
      <c r="I893"/>
    </row>
    <row r="894" spans="1:9" x14ac:dyDescent="0.25">
      <c r="A894"/>
      <c r="D894"/>
      <c r="I894"/>
    </row>
    <row r="895" spans="1:9" x14ac:dyDescent="0.25">
      <c r="A895"/>
      <c r="D895"/>
      <c r="I895"/>
    </row>
    <row r="896" spans="1:9" x14ac:dyDescent="0.25">
      <c r="A896"/>
      <c r="D896"/>
      <c r="I896"/>
    </row>
    <row r="897" spans="1:9" x14ac:dyDescent="0.25">
      <c r="A897"/>
      <c r="D897"/>
      <c r="I897"/>
    </row>
    <row r="898" spans="1:9" x14ac:dyDescent="0.25">
      <c r="A898"/>
      <c r="D898"/>
      <c r="I898"/>
    </row>
    <row r="899" spans="1:9" x14ac:dyDescent="0.25">
      <c r="A899"/>
      <c r="D899"/>
      <c r="I899"/>
    </row>
    <row r="900" spans="1:9" x14ac:dyDescent="0.25">
      <c r="A900"/>
      <c r="D900"/>
      <c r="I900"/>
    </row>
    <row r="901" spans="1:9" x14ac:dyDescent="0.25">
      <c r="A901"/>
      <c r="D901"/>
      <c r="I901"/>
    </row>
    <row r="902" spans="1:9" x14ac:dyDescent="0.25">
      <c r="A902"/>
      <c r="D902"/>
      <c r="I902"/>
    </row>
    <row r="903" spans="1:9" x14ac:dyDescent="0.25">
      <c r="A903"/>
      <c r="D903"/>
      <c r="I903"/>
    </row>
    <row r="904" spans="1:9" x14ac:dyDescent="0.25">
      <c r="A904"/>
      <c r="D904"/>
      <c r="I904"/>
    </row>
    <row r="905" spans="1:9" x14ac:dyDescent="0.25">
      <c r="A905"/>
      <c r="D905"/>
      <c r="I905"/>
    </row>
    <row r="906" spans="1:9" x14ac:dyDescent="0.25">
      <c r="A906"/>
      <c r="D906"/>
      <c r="I906"/>
    </row>
    <row r="907" spans="1:9" x14ac:dyDescent="0.25">
      <c r="A907"/>
      <c r="D907"/>
      <c r="I907"/>
    </row>
    <row r="908" spans="1:9" x14ac:dyDescent="0.25">
      <c r="A908"/>
      <c r="D908"/>
      <c r="I908"/>
    </row>
    <row r="909" spans="1:9" x14ac:dyDescent="0.25">
      <c r="A909"/>
      <c r="D909"/>
      <c r="I909"/>
    </row>
    <row r="910" spans="1:9" x14ac:dyDescent="0.25">
      <c r="A910"/>
      <c r="D910"/>
      <c r="I910"/>
    </row>
    <row r="911" spans="1:9" x14ac:dyDescent="0.25">
      <c r="A911"/>
      <c r="D911"/>
      <c r="I911"/>
    </row>
    <row r="912" spans="1:9" x14ac:dyDescent="0.25">
      <c r="A912"/>
      <c r="D912"/>
      <c r="I912"/>
    </row>
    <row r="913" spans="1:9" x14ac:dyDescent="0.25">
      <c r="A913"/>
      <c r="D913"/>
      <c r="I913"/>
    </row>
    <row r="914" spans="1:9" x14ac:dyDescent="0.25">
      <c r="A914"/>
      <c r="D914"/>
      <c r="I914"/>
    </row>
    <row r="915" spans="1:9" x14ac:dyDescent="0.25">
      <c r="A915"/>
      <c r="D915"/>
      <c r="I915"/>
    </row>
    <row r="916" spans="1:9" x14ac:dyDescent="0.25">
      <c r="A916"/>
      <c r="D916"/>
      <c r="I916"/>
    </row>
    <row r="917" spans="1:9" x14ac:dyDescent="0.25">
      <c r="A917"/>
      <c r="D917"/>
      <c r="I917"/>
    </row>
    <row r="918" spans="1:9" x14ac:dyDescent="0.25">
      <c r="A918"/>
      <c r="D918"/>
      <c r="I918"/>
    </row>
    <row r="919" spans="1:9" x14ac:dyDescent="0.25">
      <c r="A919"/>
      <c r="D919"/>
      <c r="I919"/>
    </row>
    <row r="920" spans="1:9" x14ac:dyDescent="0.25">
      <c r="A920"/>
      <c r="D920"/>
      <c r="I920"/>
    </row>
    <row r="921" spans="1:9" x14ac:dyDescent="0.25">
      <c r="A921"/>
      <c r="D921"/>
      <c r="I921"/>
    </row>
    <row r="922" spans="1:9" x14ac:dyDescent="0.25">
      <c r="A922"/>
      <c r="D922"/>
      <c r="I922"/>
    </row>
    <row r="923" spans="1:9" x14ac:dyDescent="0.25">
      <c r="A923"/>
      <c r="D923"/>
      <c r="I923"/>
    </row>
    <row r="924" spans="1:9" x14ac:dyDescent="0.25">
      <c r="A924"/>
      <c r="D924"/>
      <c r="I924"/>
    </row>
    <row r="925" spans="1:9" x14ac:dyDescent="0.25">
      <c r="A925"/>
      <c r="D925"/>
      <c r="I925"/>
    </row>
    <row r="926" spans="1:9" x14ac:dyDescent="0.25">
      <c r="A926"/>
      <c r="D926"/>
      <c r="I926"/>
    </row>
    <row r="927" spans="1:9" x14ac:dyDescent="0.25">
      <c r="A927"/>
      <c r="D927"/>
      <c r="I927"/>
    </row>
    <row r="928" spans="1:9" x14ac:dyDescent="0.25">
      <c r="A928"/>
      <c r="D928"/>
      <c r="I928"/>
    </row>
    <row r="929" spans="1:9" x14ac:dyDescent="0.25">
      <c r="A929"/>
      <c r="D929"/>
      <c r="I929"/>
    </row>
    <row r="930" spans="1:9" x14ac:dyDescent="0.25">
      <c r="A930"/>
      <c r="D930"/>
      <c r="I930"/>
    </row>
    <row r="931" spans="1:9" x14ac:dyDescent="0.25">
      <c r="A931"/>
      <c r="D931"/>
      <c r="I931"/>
    </row>
    <row r="932" spans="1:9" x14ac:dyDescent="0.25">
      <c r="A932"/>
      <c r="D932"/>
      <c r="I932"/>
    </row>
    <row r="933" spans="1:9" x14ac:dyDescent="0.25">
      <c r="A933"/>
      <c r="D933"/>
      <c r="I933"/>
    </row>
    <row r="934" spans="1:9" x14ac:dyDescent="0.25">
      <c r="A934"/>
      <c r="D934"/>
      <c r="I934"/>
    </row>
    <row r="935" spans="1:9" x14ac:dyDescent="0.25">
      <c r="A935"/>
      <c r="D935"/>
      <c r="I935"/>
    </row>
    <row r="936" spans="1:9" x14ac:dyDescent="0.25">
      <c r="A936"/>
      <c r="D936"/>
      <c r="I936"/>
    </row>
    <row r="937" spans="1:9" x14ac:dyDescent="0.25">
      <c r="A937"/>
      <c r="D937"/>
      <c r="I937"/>
    </row>
    <row r="938" spans="1:9" x14ac:dyDescent="0.25">
      <c r="A938"/>
      <c r="D938"/>
      <c r="I938"/>
    </row>
    <row r="939" spans="1:9" x14ac:dyDescent="0.25">
      <c r="A939"/>
      <c r="D939"/>
      <c r="I939"/>
    </row>
    <row r="940" spans="1:9" x14ac:dyDescent="0.25">
      <c r="A940"/>
      <c r="D940"/>
      <c r="I940"/>
    </row>
    <row r="941" spans="1:9" x14ac:dyDescent="0.25">
      <c r="A941"/>
      <c r="D941"/>
      <c r="I941"/>
    </row>
    <row r="942" spans="1:9" x14ac:dyDescent="0.25">
      <c r="A942"/>
      <c r="D942"/>
      <c r="I942"/>
    </row>
    <row r="943" spans="1:9" x14ac:dyDescent="0.25">
      <c r="A943"/>
      <c r="D943"/>
      <c r="I943"/>
    </row>
    <row r="944" spans="1:9" x14ac:dyDescent="0.25">
      <c r="A944"/>
      <c r="D944"/>
      <c r="I944"/>
    </row>
    <row r="945" spans="1:9" x14ac:dyDescent="0.25">
      <c r="A945"/>
      <c r="D945"/>
      <c r="I945"/>
    </row>
    <row r="946" spans="1:9" x14ac:dyDescent="0.25">
      <c r="A946"/>
      <c r="D946"/>
      <c r="I946"/>
    </row>
    <row r="947" spans="1:9" x14ac:dyDescent="0.25">
      <c r="A947"/>
      <c r="D947"/>
      <c r="I947"/>
    </row>
    <row r="948" spans="1:9" x14ac:dyDescent="0.25">
      <c r="A948"/>
      <c r="D948"/>
      <c r="I948"/>
    </row>
    <row r="949" spans="1:9" x14ac:dyDescent="0.25">
      <c r="A949"/>
      <c r="D949"/>
      <c r="I949"/>
    </row>
    <row r="950" spans="1:9" x14ac:dyDescent="0.25">
      <c r="A950"/>
      <c r="D950"/>
      <c r="I950"/>
    </row>
    <row r="951" spans="1:9" x14ac:dyDescent="0.25">
      <c r="A951"/>
      <c r="D951"/>
      <c r="I951"/>
    </row>
    <row r="952" spans="1:9" x14ac:dyDescent="0.25">
      <c r="A952"/>
      <c r="D952"/>
      <c r="I952"/>
    </row>
    <row r="953" spans="1:9" x14ac:dyDescent="0.25">
      <c r="A953"/>
      <c r="D953"/>
      <c r="I953"/>
    </row>
    <row r="954" spans="1:9" x14ac:dyDescent="0.25">
      <c r="A954"/>
      <c r="D954"/>
      <c r="I954"/>
    </row>
    <row r="955" spans="1:9" x14ac:dyDescent="0.25">
      <c r="A955"/>
      <c r="D955"/>
      <c r="I955"/>
    </row>
    <row r="956" spans="1:9" x14ac:dyDescent="0.25">
      <c r="A956"/>
      <c r="D956"/>
      <c r="I956"/>
    </row>
    <row r="957" spans="1:9" x14ac:dyDescent="0.25">
      <c r="A957"/>
      <c r="D957"/>
      <c r="I957"/>
    </row>
    <row r="958" spans="1:9" x14ac:dyDescent="0.25">
      <c r="A958"/>
      <c r="D958"/>
      <c r="I958"/>
    </row>
    <row r="959" spans="1:9" x14ac:dyDescent="0.25">
      <c r="A959"/>
      <c r="D959"/>
      <c r="I959"/>
    </row>
    <row r="960" spans="1:9" x14ac:dyDescent="0.25">
      <c r="A960"/>
      <c r="D960"/>
      <c r="I960"/>
    </row>
    <row r="961" spans="1:9" x14ac:dyDescent="0.25">
      <c r="A961"/>
      <c r="D961"/>
      <c r="I961"/>
    </row>
    <row r="962" spans="1:9" x14ac:dyDescent="0.25">
      <c r="A962"/>
      <c r="D962"/>
      <c r="I962"/>
    </row>
    <row r="963" spans="1:9" x14ac:dyDescent="0.25">
      <c r="A963"/>
      <c r="D963"/>
      <c r="I963"/>
    </row>
    <row r="964" spans="1:9" x14ac:dyDescent="0.25">
      <c r="A964"/>
      <c r="D964"/>
      <c r="I964"/>
    </row>
    <row r="965" spans="1:9" x14ac:dyDescent="0.25">
      <c r="A965"/>
      <c r="D965"/>
      <c r="I965"/>
    </row>
    <row r="966" spans="1:9" x14ac:dyDescent="0.25">
      <c r="A966"/>
      <c r="D966"/>
      <c r="I966"/>
    </row>
    <row r="967" spans="1:9" x14ac:dyDescent="0.25">
      <c r="A967"/>
      <c r="D967"/>
      <c r="I967"/>
    </row>
    <row r="968" spans="1:9" x14ac:dyDescent="0.25">
      <c r="A968"/>
      <c r="D968"/>
      <c r="I968"/>
    </row>
    <row r="969" spans="1:9" x14ac:dyDescent="0.25">
      <c r="A969"/>
      <c r="D969"/>
      <c r="I969"/>
    </row>
    <row r="970" spans="1:9" x14ac:dyDescent="0.25">
      <c r="A970"/>
      <c r="D970"/>
      <c r="I970"/>
    </row>
    <row r="971" spans="1:9" x14ac:dyDescent="0.25">
      <c r="A971"/>
      <c r="D971"/>
      <c r="I971"/>
    </row>
    <row r="972" spans="1:9" x14ac:dyDescent="0.25">
      <c r="A972"/>
      <c r="D972"/>
      <c r="I972"/>
    </row>
    <row r="973" spans="1:9" x14ac:dyDescent="0.25">
      <c r="A973"/>
      <c r="D973"/>
      <c r="I973"/>
    </row>
    <row r="974" spans="1:9" x14ac:dyDescent="0.25">
      <c r="A974"/>
      <c r="D974"/>
      <c r="I974"/>
    </row>
    <row r="975" spans="1:9" x14ac:dyDescent="0.25">
      <c r="A975"/>
      <c r="D975"/>
      <c r="I975"/>
    </row>
    <row r="976" spans="1:9" x14ac:dyDescent="0.25">
      <c r="A976"/>
      <c r="D976"/>
      <c r="I976"/>
    </row>
    <row r="977" spans="1:9" x14ac:dyDescent="0.25">
      <c r="A977"/>
      <c r="D977"/>
      <c r="I977"/>
    </row>
    <row r="978" spans="1:9" x14ac:dyDescent="0.25">
      <c r="A978"/>
      <c r="D978"/>
      <c r="I978"/>
    </row>
    <row r="979" spans="1:9" x14ac:dyDescent="0.25">
      <c r="A979"/>
      <c r="D979"/>
      <c r="I979"/>
    </row>
    <row r="980" spans="1:9" x14ac:dyDescent="0.25">
      <c r="A980"/>
      <c r="D980"/>
      <c r="I980"/>
    </row>
    <row r="981" spans="1:9" x14ac:dyDescent="0.25">
      <c r="A981"/>
      <c r="D981"/>
      <c r="I981"/>
    </row>
    <row r="982" spans="1:9" x14ac:dyDescent="0.25">
      <c r="A982"/>
      <c r="D982"/>
      <c r="I982"/>
    </row>
    <row r="983" spans="1:9" x14ac:dyDescent="0.25">
      <c r="A983"/>
      <c r="D983"/>
      <c r="I983"/>
    </row>
    <row r="984" spans="1:9" x14ac:dyDescent="0.25">
      <c r="A984"/>
      <c r="D984"/>
      <c r="I984"/>
    </row>
    <row r="985" spans="1:9" x14ac:dyDescent="0.25">
      <c r="A985"/>
      <c r="D985"/>
      <c r="I985"/>
    </row>
    <row r="986" spans="1:9" x14ac:dyDescent="0.25">
      <c r="A986"/>
      <c r="D986"/>
      <c r="I986"/>
    </row>
    <row r="987" spans="1:9" x14ac:dyDescent="0.25">
      <c r="A987"/>
      <c r="D987"/>
      <c r="I987"/>
    </row>
    <row r="988" spans="1:9" x14ac:dyDescent="0.25">
      <c r="A988"/>
      <c r="D988"/>
      <c r="I988"/>
    </row>
    <row r="989" spans="1:9" x14ac:dyDescent="0.25">
      <c r="A989"/>
      <c r="D989"/>
      <c r="I989"/>
    </row>
    <row r="990" spans="1:9" x14ac:dyDescent="0.25">
      <c r="A990"/>
      <c r="D990"/>
      <c r="I990"/>
    </row>
    <row r="991" spans="1:9" x14ac:dyDescent="0.25">
      <c r="A991"/>
      <c r="D991"/>
      <c r="I991"/>
    </row>
    <row r="992" spans="1:9" x14ac:dyDescent="0.25">
      <c r="A992"/>
      <c r="D992"/>
      <c r="I992"/>
    </row>
    <row r="993" spans="1:9" x14ac:dyDescent="0.25">
      <c r="A993"/>
      <c r="D993"/>
      <c r="I993"/>
    </row>
    <row r="994" spans="1:9" x14ac:dyDescent="0.25">
      <c r="A994"/>
      <c r="D994"/>
      <c r="I994"/>
    </row>
    <row r="995" spans="1:9" x14ac:dyDescent="0.25">
      <c r="A995"/>
      <c r="D995"/>
      <c r="I995"/>
    </row>
    <row r="996" spans="1:9" x14ac:dyDescent="0.25">
      <c r="A996"/>
      <c r="D996"/>
      <c r="I996"/>
    </row>
    <row r="997" spans="1:9" x14ac:dyDescent="0.25">
      <c r="A997"/>
      <c r="D997"/>
      <c r="I997"/>
    </row>
    <row r="998" spans="1:9" x14ac:dyDescent="0.25">
      <c r="A998"/>
      <c r="D998"/>
      <c r="I998"/>
    </row>
    <row r="999" spans="1:9" x14ac:dyDescent="0.25">
      <c r="A999"/>
      <c r="D999"/>
      <c r="I999"/>
    </row>
    <row r="1000" spans="1:9" x14ac:dyDescent="0.25">
      <c r="A1000"/>
      <c r="D1000"/>
      <c r="I1000"/>
    </row>
    <row r="1001" spans="1:9" x14ac:dyDescent="0.25">
      <c r="A1001"/>
      <c r="D1001"/>
      <c r="I1001"/>
    </row>
    <row r="1002" spans="1:9" x14ac:dyDescent="0.25">
      <c r="A1002"/>
      <c r="D1002"/>
      <c r="I1002"/>
    </row>
    <row r="1003" spans="1:9" x14ac:dyDescent="0.25">
      <c r="A1003"/>
      <c r="D1003"/>
      <c r="I1003"/>
    </row>
    <row r="1004" spans="1:9" x14ac:dyDescent="0.25">
      <c r="A1004"/>
      <c r="D1004"/>
      <c r="I1004"/>
    </row>
    <row r="1005" spans="1:9" x14ac:dyDescent="0.25">
      <c r="A1005"/>
      <c r="D1005"/>
      <c r="I1005"/>
    </row>
    <row r="1006" spans="1:9" x14ac:dyDescent="0.25">
      <c r="A1006"/>
      <c r="D1006"/>
      <c r="I1006"/>
    </row>
    <row r="1007" spans="1:9" x14ac:dyDescent="0.25">
      <c r="A1007"/>
      <c r="D1007"/>
      <c r="I1007"/>
    </row>
    <row r="1008" spans="1:9" x14ac:dyDescent="0.25">
      <c r="A1008"/>
      <c r="D1008"/>
      <c r="I1008"/>
    </row>
    <row r="1009" spans="1:9" x14ac:dyDescent="0.25">
      <c r="A1009"/>
      <c r="D1009"/>
      <c r="I1009"/>
    </row>
    <row r="1010" spans="1:9" x14ac:dyDescent="0.25">
      <c r="A1010"/>
      <c r="D1010"/>
      <c r="I1010"/>
    </row>
    <row r="1011" spans="1:9" x14ac:dyDescent="0.25">
      <c r="A1011"/>
      <c r="D1011"/>
      <c r="I1011"/>
    </row>
    <row r="1012" spans="1:9" x14ac:dyDescent="0.25">
      <c r="A1012"/>
      <c r="D1012"/>
      <c r="I1012"/>
    </row>
    <row r="1013" spans="1:9" x14ac:dyDescent="0.25">
      <c r="A1013"/>
      <c r="D1013"/>
      <c r="I1013"/>
    </row>
    <row r="1014" spans="1:9" x14ac:dyDescent="0.25">
      <c r="A1014"/>
      <c r="D1014"/>
      <c r="I1014"/>
    </row>
    <row r="1015" spans="1:9" x14ac:dyDescent="0.25">
      <c r="A1015"/>
      <c r="D1015"/>
      <c r="I1015"/>
    </row>
    <row r="1016" spans="1:9" x14ac:dyDescent="0.25">
      <c r="A1016"/>
      <c r="D1016"/>
      <c r="I1016"/>
    </row>
    <row r="1017" spans="1:9" x14ac:dyDescent="0.25">
      <c r="A1017"/>
      <c r="D1017"/>
      <c r="I1017"/>
    </row>
    <row r="1018" spans="1:9" x14ac:dyDescent="0.25">
      <c r="A1018"/>
      <c r="D1018"/>
      <c r="I1018"/>
    </row>
    <row r="1019" spans="1:9" x14ac:dyDescent="0.25">
      <c r="A1019"/>
      <c r="D1019"/>
      <c r="I1019"/>
    </row>
    <row r="1020" spans="1:9" x14ac:dyDescent="0.25">
      <c r="A1020"/>
      <c r="D1020"/>
      <c r="I1020"/>
    </row>
    <row r="1021" spans="1:9" x14ac:dyDescent="0.25">
      <c r="A1021"/>
      <c r="D1021"/>
      <c r="I1021"/>
    </row>
    <row r="1022" spans="1:9" x14ac:dyDescent="0.25">
      <c r="A1022"/>
      <c r="D1022"/>
      <c r="I1022"/>
    </row>
    <row r="1023" spans="1:9" x14ac:dyDescent="0.25">
      <c r="A1023"/>
      <c r="D1023"/>
      <c r="I1023"/>
    </row>
    <row r="1024" spans="1:9" x14ac:dyDescent="0.25">
      <c r="A1024"/>
      <c r="D1024"/>
      <c r="I1024"/>
    </row>
    <row r="1025" spans="1:9" x14ac:dyDescent="0.25">
      <c r="A1025"/>
      <c r="D1025"/>
      <c r="I1025"/>
    </row>
    <row r="1026" spans="1:9" x14ac:dyDescent="0.25">
      <c r="A1026"/>
      <c r="D1026"/>
      <c r="I1026"/>
    </row>
    <row r="1027" spans="1:9" x14ac:dyDescent="0.25">
      <c r="A1027"/>
      <c r="D1027"/>
      <c r="I1027"/>
    </row>
    <row r="1028" spans="1:9" x14ac:dyDescent="0.25">
      <c r="A1028"/>
      <c r="D1028"/>
      <c r="I1028"/>
    </row>
    <row r="1029" spans="1:9" x14ac:dyDescent="0.25">
      <c r="A1029"/>
      <c r="D1029"/>
      <c r="I1029"/>
    </row>
    <row r="1030" spans="1:9" x14ac:dyDescent="0.25">
      <c r="A1030"/>
      <c r="D1030"/>
      <c r="I1030"/>
    </row>
    <row r="1031" spans="1:9" x14ac:dyDescent="0.25">
      <c r="A1031"/>
      <c r="D1031"/>
      <c r="I1031"/>
    </row>
    <row r="1032" spans="1:9" x14ac:dyDescent="0.25">
      <c r="A1032"/>
      <c r="D1032"/>
      <c r="I1032"/>
    </row>
    <row r="1033" spans="1:9" x14ac:dyDescent="0.25">
      <c r="A1033"/>
      <c r="D1033"/>
      <c r="I1033"/>
    </row>
    <row r="1034" spans="1:9" x14ac:dyDescent="0.25">
      <c r="A1034"/>
      <c r="D1034"/>
      <c r="I1034"/>
    </row>
    <row r="1035" spans="1:9" x14ac:dyDescent="0.25">
      <c r="A1035"/>
      <c r="D1035"/>
      <c r="I1035"/>
    </row>
    <row r="1036" spans="1:9" x14ac:dyDescent="0.25">
      <c r="A1036"/>
      <c r="D1036"/>
      <c r="I1036"/>
    </row>
    <row r="1037" spans="1:9" x14ac:dyDescent="0.25">
      <c r="A1037"/>
      <c r="D1037"/>
      <c r="I1037"/>
    </row>
    <row r="1038" spans="1:9" x14ac:dyDescent="0.25">
      <c r="A1038"/>
      <c r="D1038"/>
      <c r="I1038"/>
    </row>
    <row r="1039" spans="1:9" x14ac:dyDescent="0.25">
      <c r="A1039"/>
      <c r="D1039"/>
      <c r="I1039"/>
    </row>
    <row r="1040" spans="1:9" x14ac:dyDescent="0.25">
      <c r="A1040"/>
      <c r="D1040"/>
      <c r="I1040"/>
    </row>
    <row r="1041" spans="1:9" x14ac:dyDescent="0.25">
      <c r="A1041"/>
      <c r="D1041"/>
      <c r="I1041"/>
    </row>
    <row r="1042" spans="1:9" x14ac:dyDescent="0.25">
      <c r="A1042"/>
      <c r="D1042"/>
      <c r="I1042"/>
    </row>
    <row r="1043" spans="1:9" x14ac:dyDescent="0.25">
      <c r="A1043"/>
      <c r="D1043"/>
      <c r="I1043"/>
    </row>
    <row r="1044" spans="1:9" x14ac:dyDescent="0.25">
      <c r="A1044"/>
      <c r="D1044"/>
      <c r="I1044"/>
    </row>
    <row r="1045" spans="1:9" x14ac:dyDescent="0.25">
      <c r="A1045"/>
      <c r="D1045"/>
      <c r="I1045"/>
    </row>
    <row r="1046" spans="1:9" x14ac:dyDescent="0.25">
      <c r="A1046"/>
      <c r="D1046"/>
      <c r="I1046"/>
    </row>
    <row r="1047" spans="1:9" x14ac:dyDescent="0.25">
      <c r="A1047"/>
      <c r="D1047"/>
      <c r="I1047"/>
    </row>
    <row r="1048" spans="1:9" x14ac:dyDescent="0.25">
      <c r="A1048"/>
      <c r="D1048"/>
      <c r="I1048"/>
    </row>
    <row r="1049" spans="1:9" x14ac:dyDescent="0.25">
      <c r="A1049"/>
      <c r="D1049"/>
      <c r="I1049"/>
    </row>
    <row r="1050" spans="1:9" x14ac:dyDescent="0.25">
      <c r="A1050"/>
      <c r="D1050"/>
      <c r="I1050"/>
    </row>
    <row r="1051" spans="1:9" x14ac:dyDescent="0.25">
      <c r="A1051"/>
      <c r="D1051"/>
      <c r="I1051"/>
    </row>
    <row r="1052" spans="1:9" x14ac:dyDescent="0.25">
      <c r="A1052"/>
      <c r="D1052"/>
      <c r="I1052"/>
    </row>
    <row r="1053" spans="1:9" x14ac:dyDescent="0.25">
      <c r="A1053"/>
      <c r="D1053"/>
      <c r="I1053"/>
    </row>
    <row r="1054" spans="1:9" x14ac:dyDescent="0.25">
      <c r="A1054"/>
      <c r="D1054"/>
      <c r="I1054"/>
    </row>
    <row r="1055" spans="1:9" x14ac:dyDescent="0.25">
      <c r="A1055"/>
      <c r="D1055"/>
      <c r="I1055"/>
    </row>
    <row r="1056" spans="1:9" x14ac:dyDescent="0.25">
      <c r="A1056"/>
      <c r="D1056"/>
      <c r="I1056"/>
    </row>
    <row r="1057" spans="1:9" x14ac:dyDescent="0.25">
      <c r="A1057"/>
      <c r="D1057"/>
      <c r="I1057"/>
    </row>
    <row r="1058" spans="1:9" x14ac:dyDescent="0.25">
      <c r="A1058"/>
      <c r="D1058"/>
      <c r="I1058"/>
    </row>
    <row r="1059" spans="1:9" x14ac:dyDescent="0.25">
      <c r="A1059"/>
      <c r="D1059"/>
      <c r="I1059"/>
    </row>
    <row r="1060" spans="1:9" x14ac:dyDescent="0.25">
      <c r="A1060"/>
      <c r="D1060"/>
      <c r="I1060"/>
    </row>
    <row r="1061" spans="1:9" x14ac:dyDescent="0.25">
      <c r="A1061"/>
      <c r="D1061"/>
      <c r="I1061"/>
    </row>
    <row r="1062" spans="1:9" x14ac:dyDescent="0.25">
      <c r="A1062"/>
      <c r="D1062"/>
      <c r="I1062"/>
    </row>
    <row r="1063" spans="1:9" x14ac:dyDescent="0.25">
      <c r="A1063"/>
      <c r="D1063"/>
      <c r="I1063"/>
    </row>
    <row r="1064" spans="1:9" x14ac:dyDescent="0.25">
      <c r="A1064"/>
      <c r="D1064"/>
      <c r="I1064"/>
    </row>
    <row r="1065" spans="1:9" x14ac:dyDescent="0.25">
      <c r="A1065"/>
      <c r="D1065"/>
      <c r="I1065"/>
    </row>
    <row r="1066" spans="1:9" x14ac:dyDescent="0.25">
      <c r="A1066"/>
      <c r="D1066"/>
      <c r="I1066"/>
    </row>
    <row r="1067" spans="1:9" x14ac:dyDescent="0.25">
      <c r="A1067"/>
      <c r="D1067"/>
      <c r="I1067"/>
    </row>
    <row r="1068" spans="1:9" x14ac:dyDescent="0.25">
      <c r="A1068"/>
      <c r="D1068"/>
      <c r="I1068"/>
    </row>
    <row r="1069" spans="1:9" x14ac:dyDescent="0.25">
      <c r="A1069"/>
      <c r="D1069"/>
      <c r="I1069"/>
    </row>
    <row r="1070" spans="1:9" x14ac:dyDescent="0.25">
      <c r="A1070"/>
      <c r="D1070"/>
      <c r="I1070"/>
    </row>
    <row r="1071" spans="1:9" x14ac:dyDescent="0.25">
      <c r="A1071"/>
      <c r="D1071"/>
      <c r="I1071"/>
    </row>
    <row r="1072" spans="1:9" x14ac:dyDescent="0.25">
      <c r="A1072"/>
      <c r="D1072"/>
      <c r="I1072"/>
    </row>
    <row r="1073" spans="1:9" x14ac:dyDescent="0.25">
      <c r="A1073"/>
      <c r="D1073"/>
      <c r="I1073"/>
    </row>
    <row r="1074" spans="1:9" x14ac:dyDescent="0.25">
      <c r="A1074"/>
      <c r="D1074"/>
      <c r="I1074"/>
    </row>
    <row r="1075" spans="1:9" x14ac:dyDescent="0.25">
      <c r="A1075"/>
      <c r="D1075"/>
      <c r="I1075"/>
    </row>
    <row r="1076" spans="1:9" x14ac:dyDescent="0.25">
      <c r="A1076"/>
      <c r="D1076"/>
      <c r="I1076"/>
    </row>
    <row r="1077" spans="1:9" x14ac:dyDescent="0.25">
      <c r="A1077"/>
      <c r="D1077"/>
      <c r="I1077"/>
    </row>
    <row r="1078" spans="1:9" x14ac:dyDescent="0.25">
      <c r="A1078"/>
      <c r="D1078"/>
      <c r="I1078"/>
    </row>
    <row r="1079" spans="1:9" x14ac:dyDescent="0.25">
      <c r="A1079"/>
      <c r="D1079"/>
      <c r="I1079"/>
    </row>
    <row r="1080" spans="1:9" x14ac:dyDescent="0.25">
      <c r="A1080"/>
      <c r="D1080"/>
      <c r="I1080"/>
    </row>
    <row r="1081" spans="1:9" x14ac:dyDescent="0.25">
      <c r="A1081"/>
      <c r="D1081"/>
      <c r="I1081"/>
    </row>
    <row r="1082" spans="1:9" x14ac:dyDescent="0.25">
      <c r="A1082"/>
      <c r="D1082"/>
      <c r="I1082"/>
    </row>
    <row r="1083" spans="1:9" x14ac:dyDescent="0.25">
      <c r="A1083"/>
      <c r="D1083"/>
      <c r="I1083"/>
    </row>
    <row r="1084" spans="1:9" x14ac:dyDescent="0.25">
      <c r="A1084"/>
      <c r="D1084"/>
      <c r="I1084"/>
    </row>
    <row r="1085" spans="1:9" x14ac:dyDescent="0.25">
      <c r="A1085"/>
      <c r="D1085"/>
      <c r="I1085"/>
    </row>
    <row r="1086" spans="1:9" x14ac:dyDescent="0.25">
      <c r="A1086"/>
      <c r="D1086"/>
      <c r="I1086"/>
    </row>
    <row r="1087" spans="1:9" x14ac:dyDescent="0.25">
      <c r="A1087"/>
      <c r="D1087"/>
      <c r="I1087"/>
    </row>
    <row r="1088" spans="1:9" x14ac:dyDescent="0.25">
      <c r="A1088"/>
      <c r="D1088"/>
      <c r="I1088"/>
    </row>
    <row r="1089" spans="1:9" x14ac:dyDescent="0.25">
      <c r="A1089"/>
      <c r="D1089"/>
      <c r="I1089"/>
    </row>
    <row r="1090" spans="1:9" x14ac:dyDescent="0.25">
      <c r="A1090"/>
      <c r="D1090"/>
      <c r="I1090"/>
    </row>
    <row r="1091" spans="1:9" x14ac:dyDescent="0.25">
      <c r="A1091"/>
      <c r="D1091"/>
      <c r="I1091"/>
    </row>
    <row r="1092" spans="1:9" x14ac:dyDescent="0.25">
      <c r="A1092"/>
      <c r="D1092"/>
      <c r="I1092"/>
    </row>
    <row r="1093" spans="1:9" x14ac:dyDescent="0.25">
      <c r="A1093"/>
      <c r="D1093"/>
      <c r="I1093"/>
    </row>
    <row r="1094" spans="1:9" x14ac:dyDescent="0.25">
      <c r="A1094"/>
      <c r="D1094"/>
      <c r="I1094"/>
    </row>
    <row r="1095" spans="1:9" x14ac:dyDescent="0.25">
      <c r="A1095"/>
      <c r="D1095"/>
      <c r="I1095"/>
    </row>
    <row r="1096" spans="1:9" x14ac:dyDescent="0.25">
      <c r="A1096"/>
      <c r="D1096"/>
      <c r="I1096"/>
    </row>
    <row r="1097" spans="1:9" x14ac:dyDescent="0.25">
      <c r="A1097"/>
      <c r="D1097"/>
      <c r="I1097"/>
    </row>
    <row r="1098" spans="1:9" x14ac:dyDescent="0.25">
      <c r="A1098"/>
      <c r="D1098"/>
      <c r="I1098"/>
    </row>
    <row r="1099" spans="1:9" x14ac:dyDescent="0.25">
      <c r="A1099"/>
      <c r="D1099"/>
      <c r="I1099"/>
    </row>
    <row r="1100" spans="1:9" x14ac:dyDescent="0.25">
      <c r="A1100"/>
      <c r="D1100"/>
      <c r="I1100"/>
    </row>
    <row r="1101" spans="1:9" x14ac:dyDescent="0.25">
      <c r="A1101"/>
      <c r="D1101"/>
      <c r="I1101"/>
    </row>
    <row r="1102" spans="1:9" x14ac:dyDescent="0.25">
      <c r="A1102"/>
      <c r="D1102"/>
      <c r="I1102"/>
    </row>
    <row r="1103" spans="1:9" x14ac:dyDescent="0.25">
      <c r="A1103"/>
      <c r="D1103"/>
      <c r="I1103"/>
    </row>
    <row r="1104" spans="1:9" x14ac:dyDescent="0.25">
      <c r="A1104"/>
      <c r="D1104"/>
      <c r="I1104"/>
    </row>
    <row r="1105" spans="1:9" x14ac:dyDescent="0.25">
      <c r="A1105"/>
      <c r="D1105"/>
      <c r="I1105"/>
    </row>
    <row r="1106" spans="1:9" x14ac:dyDescent="0.25">
      <c r="A1106"/>
      <c r="D1106"/>
      <c r="I1106"/>
    </row>
    <row r="1107" spans="1:9" x14ac:dyDescent="0.25">
      <c r="A1107"/>
      <c r="D1107"/>
      <c r="I1107"/>
    </row>
    <row r="1108" spans="1:9" x14ac:dyDescent="0.25">
      <c r="A1108"/>
      <c r="D1108"/>
      <c r="I1108"/>
    </row>
    <row r="1109" spans="1:9" x14ac:dyDescent="0.25">
      <c r="A1109"/>
      <c r="D1109"/>
      <c r="I1109"/>
    </row>
    <row r="1110" spans="1:9" x14ac:dyDescent="0.25">
      <c r="A1110"/>
      <c r="D1110"/>
      <c r="I1110"/>
    </row>
    <row r="1111" spans="1:9" x14ac:dyDescent="0.25">
      <c r="A1111"/>
      <c r="D1111"/>
      <c r="I1111"/>
    </row>
    <row r="1112" spans="1:9" x14ac:dyDescent="0.25">
      <c r="A1112"/>
      <c r="D1112"/>
      <c r="I1112"/>
    </row>
    <row r="1113" spans="1:9" x14ac:dyDescent="0.25">
      <c r="A1113"/>
      <c r="D1113"/>
      <c r="I1113"/>
    </row>
    <row r="1114" spans="1:9" x14ac:dyDescent="0.25">
      <c r="A1114"/>
      <c r="D1114"/>
      <c r="I1114"/>
    </row>
    <row r="1115" spans="1:9" x14ac:dyDescent="0.25">
      <c r="A1115"/>
      <c r="D1115"/>
      <c r="I1115"/>
    </row>
    <row r="1116" spans="1:9" x14ac:dyDescent="0.25">
      <c r="A1116"/>
      <c r="D1116"/>
      <c r="I1116"/>
    </row>
    <row r="1117" spans="1:9" x14ac:dyDescent="0.25">
      <c r="A1117"/>
      <c r="D1117"/>
      <c r="I1117"/>
    </row>
    <row r="1118" spans="1:9" x14ac:dyDescent="0.25">
      <c r="A1118"/>
      <c r="D1118"/>
      <c r="I1118"/>
    </row>
    <row r="1119" spans="1:9" x14ac:dyDescent="0.25">
      <c r="A1119"/>
      <c r="D1119"/>
      <c r="I1119"/>
    </row>
    <row r="1120" spans="1:9" x14ac:dyDescent="0.25">
      <c r="A1120"/>
      <c r="D1120"/>
      <c r="I1120"/>
    </row>
    <row r="1121" spans="1:9" x14ac:dyDescent="0.25">
      <c r="A1121"/>
      <c r="D1121"/>
      <c r="I1121"/>
    </row>
    <row r="1122" spans="1:9" x14ac:dyDescent="0.25">
      <c r="A1122"/>
      <c r="D1122"/>
      <c r="I1122"/>
    </row>
    <row r="1123" spans="1:9" x14ac:dyDescent="0.25">
      <c r="A1123"/>
      <c r="D1123"/>
      <c r="I1123"/>
    </row>
    <row r="1124" spans="1:9" x14ac:dyDescent="0.25">
      <c r="A1124"/>
      <c r="D1124"/>
      <c r="I1124"/>
    </row>
    <row r="1125" spans="1:9" x14ac:dyDescent="0.25">
      <c r="A1125"/>
      <c r="D1125"/>
      <c r="I1125"/>
    </row>
    <row r="1126" spans="1:9" x14ac:dyDescent="0.25">
      <c r="A1126"/>
      <c r="D1126"/>
      <c r="I1126"/>
    </row>
    <row r="1127" spans="1:9" x14ac:dyDescent="0.25">
      <c r="A1127"/>
      <c r="D1127"/>
      <c r="I1127"/>
    </row>
    <row r="1128" spans="1:9" x14ac:dyDescent="0.25">
      <c r="A1128"/>
      <c r="D1128"/>
      <c r="I1128"/>
    </row>
    <row r="1129" spans="1:9" x14ac:dyDescent="0.25">
      <c r="A1129"/>
      <c r="D1129"/>
      <c r="I1129"/>
    </row>
    <row r="1130" spans="1:9" x14ac:dyDescent="0.25">
      <c r="A1130"/>
      <c r="D1130"/>
      <c r="I1130"/>
    </row>
    <row r="1131" spans="1:9" x14ac:dyDescent="0.25">
      <c r="A1131"/>
      <c r="D1131"/>
      <c r="I1131"/>
    </row>
    <row r="1132" spans="1:9" x14ac:dyDescent="0.25">
      <c r="A1132"/>
      <c r="D1132"/>
      <c r="I1132"/>
    </row>
    <row r="1133" spans="1:9" x14ac:dyDescent="0.25">
      <c r="A1133"/>
      <c r="D1133"/>
      <c r="I1133"/>
    </row>
    <row r="1134" spans="1:9" x14ac:dyDescent="0.25">
      <c r="A1134"/>
      <c r="D1134"/>
      <c r="I1134"/>
    </row>
    <row r="1135" spans="1:9" x14ac:dyDescent="0.25">
      <c r="A1135"/>
      <c r="D1135"/>
      <c r="I1135"/>
    </row>
    <row r="1136" spans="1:9" x14ac:dyDescent="0.25">
      <c r="A1136"/>
      <c r="D1136"/>
      <c r="I1136"/>
    </row>
    <row r="1137" spans="1:9" x14ac:dyDescent="0.25">
      <c r="A1137"/>
      <c r="D1137"/>
      <c r="I1137"/>
    </row>
    <row r="1138" spans="1:9" x14ac:dyDescent="0.25">
      <c r="A1138"/>
      <c r="D1138"/>
      <c r="I1138"/>
    </row>
    <row r="1139" spans="1:9" x14ac:dyDescent="0.25">
      <c r="A1139"/>
      <c r="D1139"/>
      <c r="I1139"/>
    </row>
    <row r="1140" spans="1:9" x14ac:dyDescent="0.25">
      <c r="A1140"/>
      <c r="D1140"/>
      <c r="I1140"/>
    </row>
    <row r="1141" spans="1:9" x14ac:dyDescent="0.25">
      <c r="A1141"/>
      <c r="D1141"/>
      <c r="I1141"/>
    </row>
    <row r="1142" spans="1:9" x14ac:dyDescent="0.25">
      <c r="A1142"/>
      <c r="D1142"/>
      <c r="I1142"/>
    </row>
    <row r="1143" spans="1:9" x14ac:dyDescent="0.25">
      <c r="A1143"/>
      <c r="D1143"/>
      <c r="I1143"/>
    </row>
    <row r="1144" spans="1:9" x14ac:dyDescent="0.25">
      <c r="A1144"/>
      <c r="D1144"/>
      <c r="I1144"/>
    </row>
    <row r="1145" spans="1:9" x14ac:dyDescent="0.25">
      <c r="A1145"/>
      <c r="D1145"/>
      <c r="I1145"/>
    </row>
    <row r="1146" spans="1:9" x14ac:dyDescent="0.25">
      <c r="A1146"/>
      <c r="D1146"/>
      <c r="I1146"/>
    </row>
    <row r="1147" spans="1:9" x14ac:dyDescent="0.25">
      <c r="A1147"/>
      <c r="D1147"/>
      <c r="I1147"/>
    </row>
    <row r="1148" spans="1:9" x14ac:dyDescent="0.25">
      <c r="A1148"/>
      <c r="D1148"/>
      <c r="I1148"/>
    </row>
    <row r="1149" spans="1:9" x14ac:dyDescent="0.25">
      <c r="A1149"/>
      <c r="D1149"/>
      <c r="I1149"/>
    </row>
    <row r="1150" spans="1:9" x14ac:dyDescent="0.25">
      <c r="A1150"/>
      <c r="D1150"/>
      <c r="I1150"/>
    </row>
    <row r="1151" spans="1:9" x14ac:dyDescent="0.25">
      <c r="A1151"/>
      <c r="D1151"/>
      <c r="I1151"/>
    </row>
    <row r="1152" spans="1:9" x14ac:dyDescent="0.25">
      <c r="A1152"/>
      <c r="D1152"/>
      <c r="I1152"/>
    </row>
    <row r="1153" spans="1:9" x14ac:dyDescent="0.25">
      <c r="A1153"/>
      <c r="D1153"/>
      <c r="I1153"/>
    </row>
    <row r="1154" spans="1:9" x14ac:dyDescent="0.25">
      <c r="A1154"/>
      <c r="D1154"/>
      <c r="I1154"/>
    </row>
    <row r="1155" spans="1:9" x14ac:dyDescent="0.25">
      <c r="A1155"/>
      <c r="D1155"/>
      <c r="I1155"/>
    </row>
    <row r="1156" spans="1:9" x14ac:dyDescent="0.25">
      <c r="A1156"/>
      <c r="D1156"/>
      <c r="I1156"/>
    </row>
    <row r="1157" spans="1:9" x14ac:dyDescent="0.25">
      <c r="A1157"/>
      <c r="D1157"/>
      <c r="I1157"/>
    </row>
    <row r="1158" spans="1:9" x14ac:dyDescent="0.25">
      <c r="A1158"/>
      <c r="D1158"/>
      <c r="I1158"/>
    </row>
    <row r="1159" spans="1:9" x14ac:dyDescent="0.25">
      <c r="A1159"/>
      <c r="D1159"/>
      <c r="I1159"/>
    </row>
    <row r="1160" spans="1:9" x14ac:dyDescent="0.25">
      <c r="A1160"/>
      <c r="D1160"/>
      <c r="I1160"/>
    </row>
    <row r="1161" spans="1:9" x14ac:dyDescent="0.25">
      <c r="A1161"/>
      <c r="D1161"/>
      <c r="I1161"/>
    </row>
    <row r="1162" spans="1:9" x14ac:dyDescent="0.25">
      <c r="A1162"/>
      <c r="D1162"/>
      <c r="I1162"/>
    </row>
    <row r="1163" spans="1:9" x14ac:dyDescent="0.25">
      <c r="A1163"/>
      <c r="D1163"/>
      <c r="I1163"/>
    </row>
    <row r="1164" spans="1:9" x14ac:dyDescent="0.25">
      <c r="A1164"/>
      <c r="D1164"/>
      <c r="I1164"/>
    </row>
    <row r="1165" spans="1:9" x14ac:dyDescent="0.25">
      <c r="A1165"/>
      <c r="D1165"/>
      <c r="I1165"/>
    </row>
    <row r="1166" spans="1:9" x14ac:dyDescent="0.25">
      <c r="A1166"/>
      <c r="D1166"/>
      <c r="I1166"/>
    </row>
    <row r="1167" spans="1:9" x14ac:dyDescent="0.25">
      <c r="A1167"/>
      <c r="D1167"/>
      <c r="I1167"/>
    </row>
    <row r="1168" spans="1:9" x14ac:dyDescent="0.25">
      <c r="A1168"/>
      <c r="D1168"/>
      <c r="I1168"/>
    </row>
    <row r="1169" spans="1:9" x14ac:dyDescent="0.25">
      <c r="A1169"/>
      <c r="D1169"/>
      <c r="I1169"/>
    </row>
    <row r="1170" spans="1:9" x14ac:dyDescent="0.25">
      <c r="A1170"/>
      <c r="D1170"/>
      <c r="I1170"/>
    </row>
    <row r="1171" spans="1:9" x14ac:dyDescent="0.25">
      <c r="A1171"/>
      <c r="D1171"/>
      <c r="I1171"/>
    </row>
    <row r="1172" spans="1:9" x14ac:dyDescent="0.25">
      <c r="A1172"/>
      <c r="D1172"/>
      <c r="I1172"/>
    </row>
    <row r="1173" spans="1:9" x14ac:dyDescent="0.25">
      <c r="A1173"/>
      <c r="D1173"/>
      <c r="I1173"/>
    </row>
    <row r="1174" spans="1:9" x14ac:dyDescent="0.25">
      <c r="A1174"/>
      <c r="D1174"/>
      <c r="I1174"/>
    </row>
    <row r="1175" spans="1:9" x14ac:dyDescent="0.25">
      <c r="A1175"/>
      <c r="D1175"/>
      <c r="I1175"/>
    </row>
    <row r="1176" spans="1:9" x14ac:dyDescent="0.25">
      <c r="A1176"/>
      <c r="D1176"/>
      <c r="I1176"/>
    </row>
    <row r="1177" spans="1:9" x14ac:dyDescent="0.25">
      <c r="A1177"/>
      <c r="D1177"/>
      <c r="I1177"/>
    </row>
    <row r="1178" spans="1:9" x14ac:dyDescent="0.25">
      <c r="A1178"/>
      <c r="D1178"/>
      <c r="I1178"/>
    </row>
    <row r="1179" spans="1:9" x14ac:dyDescent="0.25">
      <c r="A1179"/>
      <c r="D1179"/>
      <c r="I1179"/>
    </row>
    <row r="1180" spans="1:9" x14ac:dyDescent="0.25">
      <c r="A1180"/>
      <c r="D1180"/>
      <c r="I1180"/>
    </row>
    <row r="1181" spans="1:9" x14ac:dyDescent="0.25">
      <c r="A1181"/>
      <c r="D1181"/>
      <c r="I1181"/>
    </row>
    <row r="1182" spans="1:9" x14ac:dyDescent="0.25">
      <c r="A1182"/>
      <c r="D1182"/>
      <c r="I1182"/>
    </row>
    <row r="1183" spans="1:9" x14ac:dyDescent="0.25">
      <c r="A1183"/>
      <c r="D1183"/>
      <c r="I1183"/>
    </row>
    <row r="1184" spans="1:9" x14ac:dyDescent="0.25">
      <c r="A1184"/>
      <c r="D1184"/>
      <c r="I1184"/>
    </row>
    <row r="1185" spans="1:9" x14ac:dyDescent="0.25">
      <c r="A1185"/>
      <c r="D1185"/>
      <c r="I1185"/>
    </row>
    <row r="1186" spans="1:9" x14ac:dyDescent="0.25">
      <c r="A1186"/>
      <c r="D1186"/>
      <c r="I1186"/>
    </row>
    <row r="1187" spans="1:9" x14ac:dyDescent="0.25">
      <c r="A1187"/>
      <c r="D1187"/>
      <c r="I1187"/>
    </row>
    <row r="1188" spans="1:9" x14ac:dyDescent="0.25">
      <c r="A1188"/>
      <c r="D1188"/>
      <c r="I1188"/>
    </row>
    <row r="1189" spans="1:9" x14ac:dyDescent="0.25">
      <c r="A1189"/>
      <c r="D1189"/>
      <c r="I1189"/>
    </row>
    <row r="1190" spans="1:9" x14ac:dyDescent="0.25">
      <c r="A1190"/>
      <c r="D1190"/>
      <c r="I1190"/>
    </row>
    <row r="1191" spans="1:9" x14ac:dyDescent="0.25">
      <c r="A1191"/>
      <c r="D1191"/>
      <c r="I1191"/>
    </row>
    <row r="1192" spans="1:9" x14ac:dyDescent="0.25">
      <c r="A1192"/>
      <c r="D1192"/>
      <c r="I1192"/>
    </row>
    <row r="1193" spans="1:9" x14ac:dyDescent="0.25">
      <c r="A1193"/>
      <c r="D1193"/>
      <c r="I1193"/>
    </row>
    <row r="1194" spans="1:9" x14ac:dyDescent="0.25">
      <c r="A1194"/>
      <c r="D1194"/>
      <c r="I1194"/>
    </row>
    <row r="1195" spans="1:9" x14ac:dyDescent="0.25">
      <c r="A1195"/>
      <c r="D1195"/>
      <c r="I1195"/>
    </row>
    <row r="1196" spans="1:9" x14ac:dyDescent="0.25">
      <c r="A1196"/>
      <c r="D1196"/>
      <c r="I1196"/>
    </row>
    <row r="1197" spans="1:9" x14ac:dyDescent="0.25">
      <c r="A1197"/>
      <c r="D1197"/>
      <c r="I1197"/>
    </row>
    <row r="1198" spans="1:9" x14ac:dyDescent="0.25">
      <c r="A1198"/>
      <c r="D1198"/>
      <c r="I1198"/>
    </row>
    <row r="1199" spans="1:9" x14ac:dyDescent="0.25">
      <c r="A1199"/>
      <c r="D1199"/>
      <c r="I1199"/>
    </row>
    <row r="1200" spans="1:9" x14ac:dyDescent="0.25">
      <c r="A1200"/>
      <c r="D1200"/>
      <c r="I1200"/>
    </row>
    <row r="1201" spans="1:9" x14ac:dyDescent="0.25">
      <c r="A1201"/>
      <c r="D1201"/>
      <c r="I1201"/>
    </row>
    <row r="1202" spans="1:9" x14ac:dyDescent="0.25">
      <c r="A1202"/>
      <c r="D1202"/>
      <c r="I1202"/>
    </row>
    <row r="1203" spans="1:9" x14ac:dyDescent="0.25">
      <c r="A1203"/>
      <c r="D1203"/>
      <c r="I1203"/>
    </row>
    <row r="1204" spans="1:9" x14ac:dyDescent="0.25">
      <c r="A1204"/>
      <c r="D1204"/>
      <c r="I1204"/>
    </row>
    <row r="1205" spans="1:9" x14ac:dyDescent="0.25">
      <c r="A1205"/>
      <c r="D1205"/>
      <c r="I1205"/>
    </row>
    <row r="1206" spans="1:9" x14ac:dyDescent="0.25">
      <c r="A1206"/>
      <c r="D1206"/>
      <c r="I1206"/>
    </row>
    <row r="1207" spans="1:9" x14ac:dyDescent="0.25">
      <c r="A1207"/>
      <c r="D1207"/>
      <c r="I1207"/>
    </row>
    <row r="1208" spans="1:9" x14ac:dyDescent="0.25">
      <c r="A1208"/>
      <c r="D1208"/>
      <c r="I1208"/>
    </row>
    <row r="1209" spans="1:9" x14ac:dyDescent="0.25">
      <c r="A1209"/>
      <c r="D1209"/>
      <c r="I1209"/>
    </row>
    <row r="1210" spans="1:9" x14ac:dyDescent="0.25">
      <c r="A1210"/>
      <c r="D1210"/>
      <c r="I1210"/>
    </row>
    <row r="1211" spans="1:9" x14ac:dyDescent="0.25">
      <c r="A1211"/>
      <c r="D1211"/>
      <c r="I1211"/>
    </row>
    <row r="1212" spans="1:9" x14ac:dyDescent="0.25">
      <c r="A1212"/>
      <c r="D1212"/>
      <c r="I1212"/>
    </row>
    <row r="1213" spans="1:9" x14ac:dyDescent="0.25">
      <c r="A1213"/>
      <c r="D1213"/>
      <c r="I1213"/>
    </row>
    <row r="1214" spans="1:9" x14ac:dyDescent="0.25">
      <c r="A1214"/>
      <c r="D1214"/>
      <c r="I1214"/>
    </row>
    <row r="1215" spans="1:9" x14ac:dyDescent="0.25">
      <c r="A1215"/>
      <c r="D1215"/>
      <c r="I1215"/>
    </row>
    <row r="1216" spans="1:9" x14ac:dyDescent="0.25">
      <c r="A1216"/>
      <c r="D1216"/>
      <c r="I1216"/>
    </row>
    <row r="1217" spans="1:9" x14ac:dyDescent="0.25">
      <c r="A1217"/>
      <c r="D1217"/>
      <c r="I1217"/>
    </row>
    <row r="1218" spans="1:9" x14ac:dyDescent="0.25">
      <c r="A1218"/>
      <c r="D1218"/>
      <c r="I1218"/>
    </row>
    <row r="1219" spans="1:9" x14ac:dyDescent="0.25">
      <c r="A1219"/>
      <c r="D1219"/>
      <c r="I1219"/>
    </row>
    <row r="1220" spans="1:9" x14ac:dyDescent="0.25">
      <c r="A1220"/>
      <c r="D1220"/>
      <c r="I1220"/>
    </row>
    <row r="1221" spans="1:9" x14ac:dyDescent="0.25">
      <c r="A1221"/>
      <c r="D1221"/>
      <c r="I1221"/>
    </row>
    <row r="1222" spans="1:9" x14ac:dyDescent="0.25">
      <c r="A1222"/>
      <c r="D1222"/>
      <c r="I1222"/>
    </row>
    <row r="1223" spans="1:9" x14ac:dyDescent="0.25">
      <c r="A1223"/>
      <c r="D1223"/>
      <c r="I1223"/>
    </row>
    <row r="1224" spans="1:9" x14ac:dyDescent="0.25">
      <c r="A1224"/>
      <c r="D1224"/>
      <c r="I1224"/>
    </row>
    <row r="1225" spans="1:9" x14ac:dyDescent="0.25">
      <c r="A1225"/>
      <c r="D1225"/>
      <c r="I1225"/>
    </row>
    <row r="1226" spans="1:9" x14ac:dyDescent="0.25">
      <c r="A1226"/>
      <c r="D1226"/>
      <c r="I1226"/>
    </row>
    <row r="1227" spans="1:9" x14ac:dyDescent="0.25">
      <c r="A1227"/>
      <c r="D1227"/>
      <c r="I1227"/>
    </row>
    <row r="1228" spans="1:9" x14ac:dyDescent="0.25">
      <c r="A1228"/>
      <c r="D1228"/>
      <c r="I1228"/>
    </row>
    <row r="1229" spans="1:9" x14ac:dyDescent="0.25">
      <c r="A1229"/>
      <c r="D1229"/>
      <c r="I1229"/>
    </row>
    <row r="1230" spans="1:9" x14ac:dyDescent="0.25">
      <c r="A1230"/>
      <c r="D1230"/>
      <c r="I1230"/>
    </row>
    <row r="1231" spans="1:9" x14ac:dyDescent="0.25">
      <c r="A1231"/>
      <c r="D1231"/>
      <c r="I1231"/>
    </row>
    <row r="1232" spans="1:9" x14ac:dyDescent="0.25">
      <c r="A1232"/>
      <c r="D1232"/>
      <c r="I1232"/>
    </row>
    <row r="1233" spans="1:9" x14ac:dyDescent="0.25">
      <c r="A1233"/>
      <c r="D1233"/>
      <c r="I1233"/>
    </row>
    <row r="1234" spans="1:9" x14ac:dyDescent="0.25">
      <c r="A1234"/>
      <c r="D1234"/>
      <c r="I1234"/>
    </row>
    <row r="1235" spans="1:9" x14ac:dyDescent="0.25">
      <c r="A1235"/>
      <c r="D1235"/>
      <c r="I1235"/>
    </row>
    <row r="1236" spans="1:9" x14ac:dyDescent="0.25">
      <c r="A1236"/>
      <c r="D1236"/>
      <c r="I1236"/>
    </row>
    <row r="1237" spans="1:9" x14ac:dyDescent="0.25">
      <c r="A1237"/>
      <c r="D1237"/>
      <c r="I1237"/>
    </row>
    <row r="1238" spans="1:9" x14ac:dyDescent="0.25">
      <c r="A1238"/>
      <c r="D1238"/>
      <c r="I1238"/>
    </row>
    <row r="1239" spans="1:9" x14ac:dyDescent="0.25">
      <c r="A1239"/>
      <c r="D1239"/>
      <c r="I1239"/>
    </row>
    <row r="1240" spans="1:9" x14ac:dyDescent="0.25">
      <c r="A1240"/>
      <c r="D1240"/>
      <c r="I1240"/>
    </row>
    <row r="1241" spans="1:9" x14ac:dyDescent="0.25">
      <c r="A1241"/>
      <c r="D1241"/>
      <c r="I1241"/>
    </row>
    <row r="1242" spans="1:9" x14ac:dyDescent="0.25">
      <c r="A1242"/>
      <c r="D1242"/>
      <c r="I1242"/>
    </row>
    <row r="1243" spans="1:9" x14ac:dyDescent="0.25">
      <c r="A1243"/>
      <c r="D1243"/>
      <c r="I1243"/>
    </row>
    <row r="1244" spans="1:9" x14ac:dyDescent="0.25">
      <c r="A1244"/>
      <c r="D1244"/>
      <c r="I1244"/>
    </row>
    <row r="1245" spans="1:9" x14ac:dyDescent="0.25">
      <c r="A1245"/>
      <c r="D1245"/>
      <c r="I1245"/>
    </row>
    <row r="1246" spans="1:9" x14ac:dyDescent="0.25">
      <c r="A1246"/>
      <c r="D1246"/>
      <c r="I1246"/>
    </row>
    <row r="1247" spans="1:9" x14ac:dyDescent="0.25">
      <c r="A1247"/>
      <c r="D1247"/>
      <c r="I1247"/>
    </row>
    <row r="1248" spans="1:9" x14ac:dyDescent="0.25">
      <c r="A1248"/>
      <c r="D1248"/>
      <c r="I1248"/>
    </row>
    <row r="1249" spans="1:9" x14ac:dyDescent="0.25">
      <c r="A1249"/>
      <c r="D1249"/>
      <c r="I1249"/>
    </row>
    <row r="1250" spans="1:9" x14ac:dyDescent="0.25">
      <c r="A1250"/>
      <c r="D1250"/>
      <c r="I1250"/>
    </row>
    <row r="1251" spans="1:9" x14ac:dyDescent="0.25">
      <c r="A1251"/>
      <c r="D1251"/>
      <c r="I1251"/>
    </row>
    <row r="1252" spans="1:9" x14ac:dyDescent="0.25">
      <c r="A1252"/>
      <c r="D1252"/>
      <c r="I1252"/>
    </row>
    <row r="1253" spans="1:9" x14ac:dyDescent="0.25">
      <c r="A1253"/>
      <c r="D1253"/>
      <c r="I1253"/>
    </row>
    <row r="1254" spans="1:9" x14ac:dyDescent="0.25">
      <c r="A1254"/>
      <c r="D1254"/>
      <c r="I1254"/>
    </row>
    <row r="1255" spans="1:9" x14ac:dyDescent="0.25">
      <c r="A1255"/>
      <c r="D1255"/>
      <c r="I1255"/>
    </row>
    <row r="1256" spans="1:9" x14ac:dyDescent="0.25">
      <c r="A1256"/>
      <c r="D1256"/>
      <c r="I1256"/>
    </row>
    <row r="1257" spans="1:9" x14ac:dyDescent="0.25">
      <c r="A1257"/>
      <c r="D1257"/>
      <c r="I1257"/>
    </row>
    <row r="1258" spans="1:9" x14ac:dyDescent="0.25">
      <c r="A1258"/>
      <c r="D1258"/>
      <c r="I1258"/>
    </row>
    <row r="1259" spans="1:9" x14ac:dyDescent="0.25">
      <c r="A1259"/>
      <c r="D1259"/>
      <c r="I1259"/>
    </row>
    <row r="1260" spans="1:9" x14ac:dyDescent="0.25">
      <c r="A1260"/>
      <c r="D1260"/>
      <c r="I1260"/>
    </row>
    <row r="1261" spans="1:9" x14ac:dyDescent="0.25">
      <c r="A1261"/>
      <c r="D1261"/>
      <c r="I1261"/>
    </row>
    <row r="1262" spans="1:9" x14ac:dyDescent="0.25">
      <c r="A1262"/>
      <c r="D1262"/>
      <c r="I1262"/>
    </row>
    <row r="1263" spans="1:9" x14ac:dyDescent="0.25">
      <c r="A1263"/>
      <c r="D1263"/>
      <c r="I1263"/>
    </row>
    <row r="1264" spans="1:9" x14ac:dyDescent="0.25">
      <c r="A1264"/>
      <c r="D1264"/>
      <c r="I1264"/>
    </row>
    <row r="1265" spans="1:9" x14ac:dyDescent="0.25">
      <c r="A1265"/>
      <c r="D1265"/>
      <c r="I1265"/>
    </row>
    <row r="1266" spans="1:9" x14ac:dyDescent="0.25">
      <c r="A1266"/>
      <c r="D1266"/>
      <c r="I1266"/>
    </row>
    <row r="1267" spans="1:9" x14ac:dyDescent="0.25">
      <c r="A1267"/>
      <c r="D1267"/>
      <c r="I1267"/>
    </row>
    <row r="1268" spans="1:9" x14ac:dyDescent="0.25">
      <c r="A1268"/>
      <c r="D1268"/>
      <c r="I1268"/>
    </row>
    <row r="1269" spans="1:9" x14ac:dyDescent="0.25">
      <c r="A1269"/>
      <c r="D1269"/>
      <c r="I1269"/>
    </row>
    <row r="1270" spans="1:9" x14ac:dyDescent="0.25">
      <c r="A1270"/>
      <c r="D1270"/>
      <c r="I1270"/>
    </row>
    <row r="1271" spans="1:9" x14ac:dyDescent="0.25">
      <c r="A1271"/>
      <c r="D1271"/>
      <c r="I1271"/>
    </row>
    <row r="1272" spans="1:9" x14ac:dyDescent="0.25">
      <c r="A1272"/>
      <c r="D1272"/>
      <c r="I1272"/>
    </row>
    <row r="1273" spans="1:9" x14ac:dyDescent="0.25">
      <c r="A1273"/>
      <c r="D1273"/>
      <c r="I1273"/>
    </row>
    <row r="1274" spans="1:9" x14ac:dyDescent="0.25">
      <c r="A1274"/>
      <c r="D1274"/>
      <c r="I1274"/>
    </row>
    <row r="1275" spans="1:9" x14ac:dyDescent="0.25">
      <c r="A1275"/>
      <c r="D1275"/>
      <c r="I1275"/>
    </row>
    <row r="1276" spans="1:9" x14ac:dyDescent="0.25">
      <c r="A1276"/>
      <c r="D1276"/>
      <c r="I1276"/>
    </row>
    <row r="1277" spans="1:9" x14ac:dyDescent="0.25">
      <c r="A1277"/>
      <c r="D1277"/>
      <c r="I1277"/>
    </row>
    <row r="1278" spans="1:9" x14ac:dyDescent="0.25">
      <c r="A1278"/>
      <c r="D1278"/>
      <c r="I1278"/>
    </row>
    <row r="1279" spans="1:9" x14ac:dyDescent="0.25">
      <c r="A1279"/>
      <c r="D1279"/>
      <c r="I1279"/>
    </row>
    <row r="1280" spans="1:9" x14ac:dyDescent="0.25">
      <c r="A1280"/>
      <c r="D1280"/>
      <c r="I1280"/>
    </row>
    <row r="1281" spans="1:9" x14ac:dyDescent="0.25">
      <c r="A1281"/>
      <c r="D1281"/>
      <c r="I1281"/>
    </row>
    <row r="1282" spans="1:9" x14ac:dyDescent="0.25">
      <c r="A1282"/>
      <c r="D1282"/>
      <c r="I1282"/>
    </row>
    <row r="1283" spans="1:9" x14ac:dyDescent="0.25">
      <c r="A1283"/>
      <c r="D1283"/>
      <c r="I1283"/>
    </row>
    <row r="1284" spans="1:9" x14ac:dyDescent="0.25">
      <c r="A1284"/>
      <c r="D1284"/>
      <c r="I1284"/>
    </row>
    <row r="1285" spans="1:9" x14ac:dyDescent="0.25">
      <c r="A1285"/>
      <c r="D1285"/>
      <c r="I1285"/>
    </row>
    <row r="1286" spans="1:9" x14ac:dyDescent="0.25">
      <c r="A1286"/>
      <c r="D1286"/>
      <c r="I1286"/>
    </row>
    <row r="1287" spans="1:9" x14ac:dyDescent="0.25">
      <c r="A1287"/>
      <c r="D1287"/>
      <c r="I1287"/>
    </row>
    <row r="1288" spans="1:9" x14ac:dyDescent="0.25">
      <c r="A1288"/>
      <c r="D1288"/>
      <c r="I1288"/>
    </row>
    <row r="1289" spans="1:9" x14ac:dyDescent="0.25">
      <c r="A1289"/>
      <c r="D1289"/>
      <c r="I1289"/>
    </row>
    <row r="1290" spans="1:9" x14ac:dyDescent="0.25">
      <c r="A1290"/>
      <c r="D1290"/>
      <c r="I1290"/>
    </row>
    <row r="1291" spans="1:9" x14ac:dyDescent="0.25">
      <c r="A1291"/>
      <c r="D1291"/>
      <c r="I1291"/>
    </row>
    <row r="1292" spans="1:9" x14ac:dyDescent="0.25">
      <c r="A1292"/>
      <c r="D1292"/>
      <c r="I1292"/>
    </row>
    <row r="1293" spans="1:9" x14ac:dyDescent="0.25">
      <c r="A1293"/>
      <c r="D1293"/>
      <c r="I1293"/>
    </row>
    <row r="1294" spans="1:9" x14ac:dyDescent="0.25">
      <c r="A1294"/>
      <c r="D1294"/>
      <c r="I1294"/>
    </row>
    <row r="1295" spans="1:9" x14ac:dyDescent="0.25">
      <c r="A1295"/>
      <c r="D1295"/>
      <c r="I1295"/>
    </row>
    <row r="1296" spans="1:9" x14ac:dyDescent="0.25">
      <c r="A1296"/>
      <c r="D1296"/>
      <c r="I1296"/>
    </row>
    <row r="1297" spans="1:9" x14ac:dyDescent="0.25">
      <c r="A1297"/>
      <c r="D1297"/>
      <c r="I1297"/>
    </row>
    <row r="1298" spans="1:9" x14ac:dyDescent="0.25">
      <c r="A1298"/>
      <c r="D1298"/>
      <c r="I1298"/>
    </row>
    <row r="1299" spans="1:9" x14ac:dyDescent="0.25">
      <c r="A1299"/>
      <c r="D1299"/>
      <c r="I1299"/>
    </row>
    <row r="1300" spans="1:9" x14ac:dyDescent="0.25">
      <c r="A1300"/>
      <c r="D1300"/>
      <c r="I1300"/>
    </row>
    <row r="1301" spans="1:9" x14ac:dyDescent="0.25">
      <c r="A1301"/>
      <c r="D1301"/>
      <c r="I1301"/>
    </row>
    <row r="1302" spans="1:9" x14ac:dyDescent="0.25">
      <c r="A1302"/>
      <c r="D1302"/>
      <c r="I1302"/>
    </row>
    <row r="1303" spans="1:9" x14ac:dyDescent="0.25">
      <c r="A1303"/>
      <c r="D1303"/>
      <c r="I1303"/>
    </row>
    <row r="1304" spans="1:9" x14ac:dyDescent="0.25">
      <c r="A1304"/>
      <c r="D1304"/>
      <c r="I1304"/>
    </row>
    <row r="1305" spans="1:9" x14ac:dyDescent="0.25">
      <c r="A1305"/>
      <c r="D1305"/>
      <c r="I1305"/>
    </row>
    <row r="1306" spans="1:9" x14ac:dyDescent="0.25">
      <c r="A1306"/>
      <c r="D1306"/>
      <c r="I1306"/>
    </row>
    <row r="1307" spans="1:9" x14ac:dyDescent="0.25">
      <c r="A1307"/>
      <c r="D1307"/>
      <c r="I1307"/>
    </row>
    <row r="1308" spans="1:9" x14ac:dyDescent="0.25">
      <c r="A1308"/>
      <c r="D1308"/>
      <c r="I1308"/>
    </row>
    <row r="1309" spans="1:9" x14ac:dyDescent="0.25">
      <c r="A1309"/>
      <c r="D1309"/>
      <c r="I1309"/>
    </row>
    <row r="1310" spans="1:9" x14ac:dyDescent="0.25">
      <c r="A1310"/>
      <c r="D1310"/>
      <c r="I1310"/>
    </row>
    <row r="1311" spans="1:9" x14ac:dyDescent="0.25">
      <c r="A1311"/>
      <c r="D1311"/>
      <c r="I1311"/>
    </row>
    <row r="1312" spans="1:9" x14ac:dyDescent="0.25">
      <c r="A1312"/>
      <c r="D1312"/>
      <c r="I1312"/>
    </row>
    <row r="1313" spans="1:9" x14ac:dyDescent="0.25">
      <c r="A1313"/>
      <c r="D1313"/>
      <c r="I1313"/>
    </row>
    <row r="1314" spans="1:9" x14ac:dyDescent="0.25">
      <c r="A1314"/>
      <c r="D1314"/>
      <c r="I1314"/>
    </row>
    <row r="1315" spans="1:9" x14ac:dyDescent="0.25">
      <c r="A1315"/>
      <c r="D1315"/>
      <c r="I1315"/>
    </row>
    <row r="1316" spans="1:9" x14ac:dyDescent="0.25">
      <c r="A1316"/>
      <c r="D1316"/>
      <c r="I1316"/>
    </row>
    <row r="1317" spans="1:9" x14ac:dyDescent="0.25">
      <c r="A1317"/>
      <c r="D1317"/>
      <c r="I1317"/>
    </row>
    <row r="1318" spans="1:9" x14ac:dyDescent="0.25">
      <c r="A1318"/>
      <c r="D1318"/>
      <c r="I1318"/>
    </row>
    <row r="1319" spans="1:9" x14ac:dyDescent="0.25">
      <c r="A1319"/>
      <c r="D1319"/>
      <c r="I1319"/>
    </row>
    <row r="1320" spans="1:9" x14ac:dyDescent="0.25">
      <c r="A1320"/>
      <c r="D1320"/>
      <c r="I1320"/>
    </row>
    <row r="1321" spans="1:9" x14ac:dyDescent="0.25">
      <c r="A1321"/>
      <c r="D1321"/>
      <c r="I1321"/>
    </row>
    <row r="1322" spans="1:9" x14ac:dyDescent="0.25">
      <c r="A1322"/>
      <c r="D1322"/>
      <c r="I1322"/>
    </row>
    <row r="1323" spans="1:9" x14ac:dyDescent="0.25">
      <c r="A1323"/>
      <c r="D1323"/>
      <c r="I1323"/>
    </row>
    <row r="1324" spans="1:9" x14ac:dyDescent="0.25">
      <c r="A1324"/>
      <c r="D1324"/>
      <c r="I1324"/>
    </row>
    <row r="1325" spans="1:9" x14ac:dyDescent="0.25">
      <c r="A1325"/>
      <c r="D1325"/>
      <c r="I1325"/>
    </row>
    <row r="1326" spans="1:9" x14ac:dyDescent="0.25">
      <c r="A1326"/>
      <c r="D1326"/>
      <c r="I1326"/>
    </row>
    <row r="1327" spans="1:9" x14ac:dyDescent="0.25">
      <c r="A1327"/>
      <c r="D1327"/>
      <c r="I1327"/>
    </row>
    <row r="1328" spans="1:9" x14ac:dyDescent="0.25">
      <c r="A1328"/>
      <c r="D1328"/>
      <c r="I1328"/>
    </row>
    <row r="1329" spans="1:9" x14ac:dyDescent="0.25">
      <c r="A1329"/>
      <c r="D1329"/>
      <c r="I1329"/>
    </row>
    <row r="1330" spans="1:9" x14ac:dyDescent="0.25">
      <c r="A1330"/>
      <c r="D1330"/>
      <c r="I1330"/>
    </row>
    <row r="1331" spans="1:9" x14ac:dyDescent="0.25">
      <c r="A1331"/>
      <c r="D1331"/>
      <c r="I1331"/>
    </row>
    <row r="1332" spans="1:9" x14ac:dyDescent="0.25">
      <c r="A1332"/>
      <c r="D1332"/>
      <c r="I1332"/>
    </row>
    <row r="1333" spans="1:9" x14ac:dyDescent="0.25">
      <c r="A1333"/>
      <c r="D1333"/>
      <c r="I1333"/>
    </row>
    <row r="1334" spans="1:9" x14ac:dyDescent="0.25">
      <c r="A1334"/>
      <c r="D1334"/>
      <c r="I1334"/>
    </row>
    <row r="1335" spans="1:9" x14ac:dyDescent="0.25">
      <c r="A1335"/>
      <c r="D1335"/>
      <c r="I1335"/>
    </row>
    <row r="1336" spans="1:9" x14ac:dyDescent="0.25">
      <c r="A1336"/>
      <c r="D1336"/>
      <c r="I1336"/>
    </row>
    <row r="1337" spans="1:9" x14ac:dyDescent="0.25">
      <c r="A1337"/>
      <c r="D1337"/>
      <c r="I1337"/>
    </row>
    <row r="1338" spans="1:9" x14ac:dyDescent="0.25">
      <c r="A1338"/>
      <c r="D1338"/>
      <c r="I1338"/>
    </row>
    <row r="1339" spans="1:9" x14ac:dyDescent="0.25">
      <c r="A1339"/>
      <c r="D1339"/>
      <c r="I1339"/>
    </row>
    <row r="1340" spans="1:9" x14ac:dyDescent="0.25">
      <c r="A1340"/>
      <c r="D1340"/>
      <c r="I1340"/>
    </row>
    <row r="1341" spans="1:9" x14ac:dyDescent="0.25">
      <c r="A1341"/>
      <c r="D1341"/>
      <c r="I1341"/>
    </row>
    <row r="1342" spans="1:9" x14ac:dyDescent="0.25">
      <c r="A1342"/>
      <c r="D1342"/>
      <c r="I1342"/>
    </row>
    <row r="1343" spans="1:9" x14ac:dyDescent="0.25">
      <c r="A1343"/>
      <c r="D1343"/>
      <c r="I1343"/>
    </row>
    <row r="1344" spans="1:9" x14ac:dyDescent="0.25">
      <c r="A1344"/>
      <c r="D1344"/>
      <c r="I1344"/>
    </row>
    <row r="1345" spans="1:9" x14ac:dyDescent="0.25">
      <c r="A1345"/>
      <c r="D1345"/>
      <c r="I1345"/>
    </row>
    <row r="1346" spans="1:9" x14ac:dyDescent="0.25">
      <c r="A1346"/>
      <c r="D1346"/>
      <c r="I1346"/>
    </row>
    <row r="1347" spans="1:9" x14ac:dyDescent="0.25">
      <c r="A1347"/>
      <c r="D1347"/>
      <c r="I1347"/>
    </row>
    <row r="1348" spans="1:9" x14ac:dyDescent="0.25">
      <c r="A1348"/>
      <c r="D1348"/>
      <c r="I1348"/>
    </row>
    <row r="1349" spans="1:9" x14ac:dyDescent="0.25">
      <c r="A1349"/>
      <c r="D1349"/>
      <c r="I1349"/>
    </row>
    <row r="1350" spans="1:9" x14ac:dyDescent="0.25">
      <c r="A1350"/>
      <c r="D1350"/>
      <c r="I1350"/>
    </row>
    <row r="1351" spans="1:9" x14ac:dyDescent="0.25">
      <c r="A1351"/>
      <c r="D1351"/>
      <c r="I1351"/>
    </row>
    <row r="1352" spans="1:9" x14ac:dyDescent="0.25">
      <c r="A1352"/>
      <c r="D1352"/>
      <c r="I1352"/>
    </row>
    <row r="1353" spans="1:9" x14ac:dyDescent="0.25">
      <c r="A1353"/>
      <c r="D1353"/>
      <c r="I1353"/>
    </row>
    <row r="1354" spans="1:9" x14ac:dyDescent="0.25">
      <c r="A1354"/>
      <c r="D1354"/>
      <c r="I1354"/>
    </row>
    <row r="1355" spans="1:9" x14ac:dyDescent="0.25">
      <c r="A1355"/>
      <c r="D1355"/>
      <c r="I1355"/>
    </row>
    <row r="1356" spans="1:9" x14ac:dyDescent="0.25">
      <c r="A1356"/>
      <c r="D1356"/>
      <c r="I1356"/>
    </row>
    <row r="1357" spans="1:9" x14ac:dyDescent="0.25">
      <c r="A1357"/>
      <c r="D1357"/>
      <c r="I1357"/>
    </row>
    <row r="1358" spans="1:9" x14ac:dyDescent="0.25">
      <c r="A1358"/>
      <c r="D1358"/>
      <c r="I1358"/>
    </row>
    <row r="1359" spans="1:9" x14ac:dyDescent="0.25">
      <c r="A1359"/>
      <c r="D1359"/>
      <c r="I1359"/>
    </row>
    <row r="1360" spans="1:9" x14ac:dyDescent="0.25">
      <c r="A1360"/>
      <c r="D1360"/>
      <c r="I1360"/>
    </row>
    <row r="1361" spans="1:9" x14ac:dyDescent="0.25">
      <c r="A1361"/>
      <c r="D1361"/>
      <c r="I1361"/>
    </row>
    <row r="1362" spans="1:9" x14ac:dyDescent="0.25">
      <c r="A1362"/>
      <c r="D1362"/>
      <c r="I1362"/>
    </row>
    <row r="1363" spans="1:9" x14ac:dyDescent="0.25">
      <c r="A1363"/>
      <c r="D1363"/>
      <c r="I1363"/>
    </row>
    <row r="1364" spans="1:9" x14ac:dyDescent="0.25">
      <c r="A1364"/>
      <c r="D1364"/>
      <c r="I1364"/>
    </row>
    <row r="1365" spans="1:9" x14ac:dyDescent="0.25">
      <c r="A1365"/>
      <c r="D1365"/>
      <c r="I1365"/>
    </row>
    <row r="1366" spans="1:9" x14ac:dyDescent="0.25">
      <c r="A1366"/>
      <c r="D1366"/>
      <c r="I1366"/>
    </row>
    <row r="1367" spans="1:9" x14ac:dyDescent="0.25">
      <c r="A1367"/>
      <c r="D1367"/>
      <c r="I1367"/>
    </row>
    <row r="1368" spans="1:9" x14ac:dyDescent="0.25">
      <c r="A1368"/>
      <c r="D1368"/>
      <c r="I1368"/>
    </row>
    <row r="1369" spans="1:9" x14ac:dyDescent="0.25">
      <c r="A1369"/>
      <c r="D1369"/>
      <c r="I1369"/>
    </row>
    <row r="1370" spans="1:9" x14ac:dyDescent="0.25">
      <c r="A1370"/>
      <c r="D1370"/>
      <c r="I1370"/>
    </row>
    <row r="1371" spans="1:9" x14ac:dyDescent="0.25">
      <c r="A1371"/>
      <c r="D1371"/>
      <c r="I1371"/>
    </row>
    <row r="1372" spans="1:9" x14ac:dyDescent="0.25">
      <c r="A1372"/>
      <c r="D1372"/>
      <c r="I1372"/>
    </row>
    <row r="1373" spans="1:9" x14ac:dyDescent="0.25">
      <c r="A1373"/>
      <c r="D1373"/>
      <c r="I1373"/>
    </row>
    <row r="1374" spans="1:9" x14ac:dyDescent="0.25">
      <c r="A1374"/>
      <c r="D1374"/>
      <c r="I1374"/>
    </row>
    <row r="1375" spans="1:9" x14ac:dyDescent="0.25">
      <c r="A1375"/>
      <c r="D1375"/>
      <c r="I1375"/>
    </row>
    <row r="1376" spans="1:9" x14ac:dyDescent="0.25">
      <c r="A1376"/>
      <c r="D1376"/>
      <c r="I1376"/>
    </row>
    <row r="1377" spans="1:9" x14ac:dyDescent="0.25">
      <c r="A1377"/>
      <c r="D1377"/>
      <c r="I1377"/>
    </row>
    <row r="1378" spans="1:9" x14ac:dyDescent="0.25">
      <c r="A1378"/>
      <c r="D1378"/>
      <c r="I1378"/>
    </row>
    <row r="1379" spans="1:9" x14ac:dyDescent="0.25">
      <c r="A1379"/>
      <c r="D1379"/>
      <c r="I1379"/>
    </row>
    <row r="1380" spans="1:9" x14ac:dyDescent="0.25">
      <c r="A1380"/>
      <c r="D1380"/>
      <c r="I1380"/>
    </row>
    <row r="1381" spans="1:9" x14ac:dyDescent="0.25">
      <c r="A1381"/>
      <c r="D1381"/>
      <c r="I1381"/>
    </row>
    <row r="1382" spans="1:9" x14ac:dyDescent="0.25">
      <c r="A1382"/>
      <c r="D1382"/>
      <c r="I1382"/>
    </row>
    <row r="1383" spans="1:9" x14ac:dyDescent="0.25">
      <c r="A1383"/>
      <c r="D1383"/>
      <c r="I1383"/>
    </row>
    <row r="1384" spans="1:9" x14ac:dyDescent="0.25">
      <c r="A1384"/>
      <c r="D1384"/>
      <c r="I1384"/>
    </row>
    <row r="1385" spans="1:9" x14ac:dyDescent="0.25">
      <c r="A1385"/>
      <c r="D1385"/>
      <c r="I1385"/>
    </row>
    <row r="1386" spans="1:9" x14ac:dyDescent="0.25">
      <c r="A1386"/>
      <c r="D1386"/>
      <c r="I1386"/>
    </row>
    <row r="1387" spans="1:9" x14ac:dyDescent="0.25">
      <c r="A1387"/>
      <c r="D1387"/>
      <c r="I1387"/>
    </row>
    <row r="1388" spans="1:9" x14ac:dyDescent="0.25">
      <c r="A1388"/>
      <c r="D1388"/>
      <c r="I1388"/>
    </row>
    <row r="1389" spans="1:9" x14ac:dyDescent="0.25">
      <c r="A1389"/>
      <c r="D1389"/>
      <c r="I1389"/>
    </row>
    <row r="1390" spans="1:9" x14ac:dyDescent="0.25">
      <c r="A1390"/>
      <c r="D1390"/>
      <c r="I1390"/>
    </row>
    <row r="1391" spans="1:9" x14ac:dyDescent="0.25">
      <c r="A1391"/>
      <c r="D1391"/>
      <c r="I1391"/>
    </row>
    <row r="1392" spans="1:9" x14ac:dyDescent="0.25">
      <c r="A1392"/>
      <c r="D1392"/>
      <c r="I1392"/>
    </row>
    <row r="1393" spans="1:9" x14ac:dyDescent="0.25">
      <c r="A1393"/>
      <c r="D1393"/>
      <c r="I1393"/>
    </row>
    <row r="1394" spans="1:9" x14ac:dyDescent="0.25">
      <c r="A1394"/>
      <c r="D1394"/>
      <c r="I1394"/>
    </row>
    <row r="1395" spans="1:9" x14ac:dyDescent="0.25">
      <c r="A1395"/>
      <c r="D1395"/>
      <c r="I1395"/>
    </row>
    <row r="1396" spans="1:9" x14ac:dyDescent="0.25">
      <c r="A1396"/>
      <c r="D1396"/>
      <c r="I1396"/>
    </row>
    <row r="1397" spans="1:9" x14ac:dyDescent="0.25">
      <c r="A1397"/>
      <c r="D1397"/>
      <c r="I1397"/>
    </row>
    <row r="1398" spans="1:9" x14ac:dyDescent="0.25">
      <c r="A1398"/>
      <c r="D1398"/>
      <c r="I1398"/>
    </row>
    <row r="1399" spans="1:9" x14ac:dyDescent="0.25">
      <c r="A1399"/>
      <c r="D1399"/>
      <c r="I1399"/>
    </row>
    <row r="1400" spans="1:9" x14ac:dyDescent="0.25">
      <c r="A1400"/>
      <c r="D1400"/>
      <c r="I1400"/>
    </row>
    <row r="1401" spans="1:9" x14ac:dyDescent="0.25">
      <c r="A1401"/>
      <c r="D1401"/>
      <c r="I1401"/>
    </row>
    <row r="1402" spans="1:9" x14ac:dyDescent="0.25">
      <c r="A1402"/>
      <c r="D1402"/>
      <c r="I1402"/>
    </row>
    <row r="1403" spans="1:9" x14ac:dyDescent="0.25">
      <c r="A1403"/>
      <c r="D1403"/>
      <c r="I1403"/>
    </row>
    <row r="1404" spans="1:9" x14ac:dyDescent="0.25">
      <c r="A1404"/>
      <c r="D1404"/>
      <c r="I1404"/>
    </row>
    <row r="1405" spans="1:9" x14ac:dyDescent="0.25">
      <c r="A1405"/>
      <c r="D1405"/>
      <c r="I1405"/>
    </row>
    <row r="1406" spans="1:9" x14ac:dyDescent="0.25">
      <c r="A1406"/>
      <c r="D1406"/>
      <c r="I1406"/>
    </row>
    <row r="1407" spans="1:9" x14ac:dyDescent="0.25">
      <c r="A1407"/>
      <c r="D1407"/>
      <c r="I1407"/>
    </row>
    <row r="1408" spans="1:9" x14ac:dyDescent="0.25">
      <c r="A1408"/>
      <c r="D1408"/>
      <c r="I1408"/>
    </row>
    <row r="1409" spans="1:9" x14ac:dyDescent="0.25">
      <c r="A1409"/>
      <c r="D1409"/>
      <c r="I1409"/>
    </row>
    <row r="1410" spans="1:9" x14ac:dyDescent="0.25">
      <c r="A1410"/>
      <c r="D1410"/>
      <c r="I1410"/>
    </row>
    <row r="1411" spans="1:9" x14ac:dyDescent="0.25">
      <c r="A1411"/>
      <c r="D1411"/>
      <c r="I1411"/>
    </row>
    <row r="1412" spans="1:9" x14ac:dyDescent="0.25">
      <c r="A1412"/>
      <c r="D1412"/>
      <c r="I1412"/>
    </row>
    <row r="1413" spans="1:9" x14ac:dyDescent="0.25">
      <c r="A1413"/>
      <c r="D1413"/>
      <c r="I1413"/>
    </row>
    <row r="1414" spans="1:9" x14ac:dyDescent="0.25">
      <c r="A1414"/>
      <c r="D1414"/>
      <c r="I1414"/>
    </row>
    <row r="1415" spans="1:9" x14ac:dyDescent="0.25">
      <c r="A1415"/>
      <c r="D1415"/>
      <c r="I1415"/>
    </row>
    <row r="1416" spans="1:9" x14ac:dyDescent="0.25">
      <c r="A1416"/>
      <c r="D1416"/>
      <c r="I1416"/>
    </row>
    <row r="1417" spans="1:9" x14ac:dyDescent="0.25">
      <c r="A1417"/>
      <c r="D1417"/>
      <c r="I1417"/>
    </row>
    <row r="1418" spans="1:9" x14ac:dyDescent="0.25">
      <c r="A1418"/>
      <c r="D1418"/>
      <c r="I1418"/>
    </row>
    <row r="1419" spans="1:9" x14ac:dyDescent="0.25">
      <c r="A1419"/>
      <c r="D1419"/>
      <c r="I1419"/>
    </row>
    <row r="1420" spans="1:9" x14ac:dyDescent="0.25">
      <c r="A1420"/>
      <c r="D1420"/>
      <c r="I1420"/>
    </row>
    <row r="1421" spans="1:9" x14ac:dyDescent="0.25">
      <c r="A1421"/>
      <c r="D1421"/>
      <c r="I1421"/>
    </row>
    <row r="1422" spans="1:9" x14ac:dyDescent="0.25">
      <c r="A1422"/>
      <c r="D1422"/>
      <c r="I1422"/>
    </row>
    <row r="1423" spans="1:9" x14ac:dyDescent="0.25">
      <c r="A1423"/>
      <c r="D1423"/>
      <c r="I1423"/>
    </row>
    <row r="1424" spans="1:9" x14ac:dyDescent="0.25">
      <c r="A1424"/>
      <c r="D1424"/>
      <c r="I1424"/>
    </row>
    <row r="1425" spans="1:9" x14ac:dyDescent="0.25">
      <c r="A1425"/>
      <c r="D1425"/>
      <c r="I1425"/>
    </row>
    <row r="1426" spans="1:9" x14ac:dyDescent="0.25">
      <c r="A1426"/>
      <c r="D1426"/>
      <c r="I1426"/>
    </row>
    <row r="1427" spans="1:9" x14ac:dyDescent="0.25">
      <c r="A1427"/>
      <c r="D1427"/>
      <c r="I1427"/>
    </row>
    <row r="1428" spans="1:9" x14ac:dyDescent="0.25">
      <c r="A1428"/>
      <c r="D1428"/>
      <c r="I1428"/>
    </row>
    <row r="1429" spans="1:9" x14ac:dyDescent="0.25">
      <c r="A1429"/>
      <c r="D1429"/>
      <c r="I1429"/>
    </row>
    <row r="1430" spans="1:9" x14ac:dyDescent="0.25">
      <c r="A1430"/>
      <c r="D1430"/>
      <c r="I1430"/>
    </row>
    <row r="1431" spans="1:9" x14ac:dyDescent="0.25">
      <c r="A1431"/>
      <c r="D1431"/>
      <c r="I1431"/>
    </row>
    <row r="1432" spans="1:9" x14ac:dyDescent="0.25">
      <c r="A1432"/>
      <c r="D1432"/>
      <c r="I1432"/>
    </row>
    <row r="1433" spans="1:9" x14ac:dyDescent="0.25">
      <c r="A1433"/>
      <c r="D1433"/>
      <c r="I1433"/>
    </row>
    <row r="1434" spans="1:9" x14ac:dyDescent="0.25">
      <c r="A1434"/>
      <c r="D1434"/>
      <c r="I1434"/>
    </row>
    <row r="1435" spans="1:9" x14ac:dyDescent="0.25">
      <c r="A1435"/>
      <c r="D1435"/>
      <c r="I1435"/>
    </row>
    <row r="1436" spans="1:9" x14ac:dyDescent="0.25">
      <c r="A1436"/>
      <c r="D1436"/>
      <c r="I1436"/>
    </row>
    <row r="1437" spans="1:9" x14ac:dyDescent="0.25">
      <c r="A1437"/>
      <c r="D1437"/>
      <c r="I1437"/>
    </row>
    <row r="1438" spans="1:9" x14ac:dyDescent="0.25">
      <c r="A1438"/>
      <c r="D1438"/>
      <c r="I1438"/>
    </row>
    <row r="1439" spans="1:9" x14ac:dyDescent="0.25">
      <c r="A1439"/>
      <c r="D1439"/>
      <c r="I1439"/>
    </row>
    <row r="1440" spans="1:9" x14ac:dyDescent="0.25">
      <c r="A1440"/>
      <c r="D1440"/>
      <c r="I1440"/>
    </row>
    <row r="1441" spans="1:9" x14ac:dyDescent="0.25">
      <c r="A1441"/>
      <c r="D1441"/>
      <c r="I1441"/>
    </row>
    <row r="1442" spans="1:9" x14ac:dyDescent="0.25">
      <c r="A1442"/>
      <c r="D1442"/>
      <c r="I1442"/>
    </row>
    <row r="1443" spans="1:9" x14ac:dyDescent="0.25">
      <c r="A1443"/>
      <c r="D1443"/>
      <c r="I1443"/>
    </row>
    <row r="1444" spans="1:9" x14ac:dyDescent="0.25">
      <c r="A1444"/>
      <c r="D1444"/>
      <c r="I1444"/>
    </row>
    <row r="1445" spans="1:9" x14ac:dyDescent="0.25">
      <c r="A1445"/>
      <c r="D1445"/>
      <c r="I1445"/>
    </row>
    <row r="1446" spans="1:9" x14ac:dyDescent="0.25">
      <c r="A1446"/>
      <c r="D1446"/>
      <c r="I1446"/>
    </row>
    <row r="1447" spans="1:9" x14ac:dyDescent="0.25">
      <c r="A1447"/>
      <c r="D1447"/>
      <c r="I1447"/>
    </row>
    <row r="1448" spans="1:9" x14ac:dyDescent="0.25">
      <c r="A1448"/>
      <c r="D1448"/>
      <c r="I1448"/>
    </row>
    <row r="1449" spans="1:9" x14ac:dyDescent="0.25">
      <c r="A1449"/>
      <c r="D1449"/>
      <c r="I1449"/>
    </row>
    <row r="1450" spans="1:9" x14ac:dyDescent="0.25">
      <c r="A1450"/>
      <c r="D1450"/>
      <c r="I1450"/>
    </row>
    <row r="1451" spans="1:9" x14ac:dyDescent="0.25">
      <c r="A1451"/>
      <c r="D1451"/>
      <c r="I1451"/>
    </row>
    <row r="1452" spans="1:9" x14ac:dyDescent="0.25">
      <c r="A1452"/>
      <c r="D1452"/>
      <c r="I1452"/>
    </row>
    <row r="1453" spans="1:9" x14ac:dyDescent="0.25">
      <c r="A1453"/>
      <c r="D1453"/>
      <c r="I1453"/>
    </row>
    <row r="1454" spans="1:9" x14ac:dyDescent="0.25">
      <c r="A1454"/>
      <c r="D1454"/>
      <c r="I1454"/>
    </row>
    <row r="1455" spans="1:9" x14ac:dyDescent="0.25">
      <c r="A1455"/>
      <c r="D1455"/>
      <c r="I1455"/>
    </row>
    <row r="1456" spans="1:9" x14ac:dyDescent="0.25">
      <c r="A1456"/>
      <c r="D1456"/>
      <c r="I1456"/>
    </row>
    <row r="1457" spans="1:9" x14ac:dyDescent="0.25">
      <c r="A1457"/>
      <c r="D1457"/>
      <c r="I1457"/>
    </row>
    <row r="1458" spans="1:9" x14ac:dyDescent="0.25">
      <c r="A1458"/>
      <c r="D1458"/>
      <c r="I1458"/>
    </row>
    <row r="1459" spans="1:9" x14ac:dyDescent="0.25">
      <c r="A1459"/>
      <c r="D1459"/>
      <c r="I1459"/>
    </row>
    <row r="1460" spans="1:9" x14ac:dyDescent="0.25">
      <c r="A1460"/>
      <c r="D1460"/>
      <c r="I1460"/>
    </row>
    <row r="1461" spans="1:9" x14ac:dyDescent="0.25">
      <c r="A1461"/>
      <c r="D1461"/>
      <c r="I1461"/>
    </row>
    <row r="1462" spans="1:9" x14ac:dyDescent="0.25">
      <c r="A1462"/>
      <c r="D1462"/>
      <c r="I1462"/>
    </row>
    <row r="1463" spans="1:9" x14ac:dyDescent="0.25">
      <c r="A1463"/>
      <c r="D1463"/>
      <c r="I1463"/>
    </row>
    <row r="1464" spans="1:9" x14ac:dyDescent="0.25">
      <c r="A1464"/>
      <c r="D1464"/>
      <c r="I1464"/>
    </row>
    <row r="1465" spans="1:9" x14ac:dyDescent="0.25">
      <c r="A1465"/>
      <c r="D1465"/>
      <c r="I1465"/>
    </row>
    <row r="1466" spans="1:9" x14ac:dyDescent="0.25">
      <c r="A1466"/>
      <c r="D1466"/>
      <c r="I1466"/>
    </row>
    <row r="1467" spans="1:9" x14ac:dyDescent="0.25">
      <c r="A1467"/>
      <c r="D1467"/>
      <c r="I1467"/>
    </row>
    <row r="1468" spans="1:9" x14ac:dyDescent="0.25">
      <c r="A1468"/>
      <c r="D1468"/>
      <c r="I1468"/>
    </row>
    <row r="1469" spans="1:9" x14ac:dyDescent="0.25">
      <c r="A1469"/>
      <c r="D1469"/>
      <c r="I1469"/>
    </row>
    <row r="1470" spans="1:9" x14ac:dyDescent="0.25">
      <c r="A1470"/>
      <c r="D1470"/>
      <c r="I1470"/>
    </row>
    <row r="1471" spans="1:9" x14ac:dyDescent="0.25">
      <c r="A1471"/>
      <c r="D1471"/>
      <c r="I1471"/>
    </row>
    <row r="1472" spans="1:9" x14ac:dyDescent="0.25">
      <c r="A1472"/>
      <c r="D1472"/>
      <c r="I1472"/>
    </row>
    <row r="1473" spans="1:9" x14ac:dyDescent="0.25">
      <c r="A1473"/>
      <c r="D1473"/>
      <c r="I1473"/>
    </row>
    <row r="1474" spans="1:9" x14ac:dyDescent="0.25">
      <c r="A1474"/>
      <c r="D1474"/>
      <c r="I1474"/>
    </row>
    <row r="1475" spans="1:9" x14ac:dyDescent="0.25">
      <c r="A1475"/>
      <c r="D1475"/>
      <c r="I1475"/>
    </row>
    <row r="1476" spans="1:9" x14ac:dyDescent="0.25">
      <c r="A1476"/>
      <c r="D1476"/>
      <c r="I1476"/>
    </row>
    <row r="1477" spans="1:9" x14ac:dyDescent="0.25">
      <c r="A1477"/>
      <c r="D1477"/>
      <c r="I1477"/>
    </row>
    <row r="1478" spans="1:9" x14ac:dyDescent="0.25">
      <c r="A1478"/>
      <c r="D1478"/>
      <c r="I1478"/>
    </row>
    <row r="1479" spans="1:9" x14ac:dyDescent="0.25">
      <c r="A1479"/>
      <c r="D1479"/>
      <c r="I1479"/>
    </row>
    <row r="1480" spans="1:9" x14ac:dyDescent="0.25">
      <c r="A1480"/>
      <c r="D1480"/>
      <c r="I1480"/>
    </row>
    <row r="1481" spans="1:9" x14ac:dyDescent="0.25">
      <c r="A1481"/>
      <c r="D1481"/>
      <c r="I1481"/>
    </row>
    <row r="1482" spans="1:9" x14ac:dyDescent="0.25">
      <c r="A1482"/>
      <c r="D1482"/>
      <c r="I1482"/>
    </row>
    <row r="1483" spans="1:9" x14ac:dyDescent="0.25">
      <c r="A1483"/>
      <c r="D1483"/>
      <c r="I1483"/>
    </row>
    <row r="1484" spans="1:9" x14ac:dyDescent="0.25">
      <c r="A1484"/>
      <c r="D1484"/>
      <c r="I1484"/>
    </row>
    <row r="1485" spans="1:9" x14ac:dyDescent="0.25">
      <c r="A1485"/>
      <c r="D1485"/>
      <c r="I1485"/>
    </row>
    <row r="1486" spans="1:9" x14ac:dyDescent="0.25">
      <c r="A1486"/>
      <c r="D1486"/>
      <c r="I1486"/>
    </row>
    <row r="1487" spans="1:9" x14ac:dyDescent="0.25">
      <c r="A1487"/>
      <c r="D1487"/>
      <c r="I1487"/>
    </row>
    <row r="1488" spans="1:9" x14ac:dyDescent="0.25">
      <c r="A1488"/>
      <c r="D1488"/>
      <c r="I1488"/>
    </row>
    <row r="1489" spans="1:9" x14ac:dyDescent="0.25">
      <c r="A1489"/>
      <c r="D1489"/>
      <c r="I1489"/>
    </row>
    <row r="1490" spans="1:9" x14ac:dyDescent="0.25">
      <c r="A1490"/>
      <c r="D1490"/>
      <c r="I1490"/>
    </row>
    <row r="1491" spans="1:9" x14ac:dyDescent="0.25">
      <c r="A1491"/>
      <c r="D1491"/>
      <c r="I1491"/>
    </row>
    <row r="1492" spans="1:9" x14ac:dyDescent="0.25">
      <c r="A1492"/>
      <c r="D1492"/>
      <c r="I1492"/>
    </row>
    <row r="1493" spans="1:9" x14ac:dyDescent="0.25">
      <c r="A1493"/>
      <c r="D1493"/>
      <c r="I1493"/>
    </row>
    <row r="1494" spans="1:9" x14ac:dyDescent="0.25">
      <c r="A1494"/>
      <c r="D1494"/>
      <c r="I1494"/>
    </row>
    <row r="1495" spans="1:9" x14ac:dyDescent="0.25">
      <c r="A1495"/>
      <c r="D1495"/>
      <c r="I1495"/>
    </row>
    <row r="1496" spans="1:9" x14ac:dyDescent="0.25">
      <c r="A1496"/>
      <c r="D1496"/>
      <c r="I1496"/>
    </row>
    <row r="1497" spans="1:9" x14ac:dyDescent="0.25">
      <c r="A1497"/>
      <c r="D1497"/>
      <c r="I1497"/>
    </row>
    <row r="1498" spans="1:9" x14ac:dyDescent="0.25">
      <c r="A1498"/>
      <c r="D1498"/>
      <c r="I1498"/>
    </row>
    <row r="1499" spans="1:9" x14ac:dyDescent="0.25">
      <c r="A1499"/>
      <c r="D1499"/>
      <c r="I1499"/>
    </row>
    <row r="1500" spans="1:9" x14ac:dyDescent="0.25">
      <c r="A1500"/>
      <c r="D1500"/>
      <c r="I1500"/>
    </row>
    <row r="1501" spans="1:9" x14ac:dyDescent="0.25">
      <c r="A1501"/>
      <c r="D1501"/>
      <c r="I1501"/>
    </row>
    <row r="1502" spans="1:9" x14ac:dyDescent="0.25">
      <c r="A1502"/>
      <c r="D1502"/>
      <c r="I1502"/>
    </row>
    <row r="1503" spans="1:9" x14ac:dyDescent="0.25">
      <c r="A1503"/>
      <c r="D1503"/>
      <c r="I1503"/>
    </row>
    <row r="1504" spans="1:9" x14ac:dyDescent="0.25">
      <c r="A1504"/>
      <c r="D1504"/>
      <c r="I1504"/>
    </row>
    <row r="1505" spans="1:9" x14ac:dyDescent="0.25">
      <c r="A1505"/>
      <c r="D1505"/>
      <c r="I1505"/>
    </row>
    <row r="1506" spans="1:9" x14ac:dyDescent="0.25">
      <c r="A1506"/>
      <c r="D1506"/>
      <c r="I1506"/>
    </row>
    <row r="1507" spans="1:9" x14ac:dyDescent="0.25">
      <c r="A1507"/>
      <c r="D1507"/>
      <c r="I1507"/>
    </row>
    <row r="1508" spans="1:9" x14ac:dyDescent="0.25">
      <c r="A1508"/>
      <c r="D1508"/>
      <c r="I1508"/>
    </row>
    <row r="1509" spans="1:9" x14ac:dyDescent="0.25">
      <c r="A1509"/>
      <c r="D1509"/>
      <c r="I1509"/>
    </row>
    <row r="1510" spans="1:9" x14ac:dyDescent="0.25">
      <c r="A1510"/>
      <c r="D1510"/>
      <c r="I1510"/>
    </row>
    <row r="1511" spans="1:9" x14ac:dyDescent="0.25">
      <c r="A1511"/>
      <c r="D1511"/>
      <c r="I1511"/>
    </row>
    <row r="1512" spans="1:9" x14ac:dyDescent="0.25">
      <c r="A1512"/>
      <c r="D1512"/>
      <c r="I1512"/>
    </row>
    <row r="1513" spans="1:9" x14ac:dyDescent="0.25">
      <c r="A1513"/>
      <c r="D1513"/>
      <c r="I1513"/>
    </row>
    <row r="1514" spans="1:9" x14ac:dyDescent="0.25">
      <c r="A1514"/>
      <c r="D1514"/>
      <c r="I1514"/>
    </row>
    <row r="1515" spans="1:9" x14ac:dyDescent="0.25">
      <c r="A1515"/>
      <c r="D1515"/>
      <c r="I1515"/>
    </row>
    <row r="1516" spans="1:9" x14ac:dyDescent="0.25">
      <c r="A1516"/>
      <c r="D1516"/>
      <c r="I1516"/>
    </row>
    <row r="1517" spans="1:9" x14ac:dyDescent="0.25">
      <c r="A1517"/>
      <c r="D1517"/>
      <c r="I1517"/>
    </row>
    <row r="1518" spans="1:9" x14ac:dyDescent="0.25">
      <c r="A1518"/>
      <c r="D1518"/>
      <c r="I1518"/>
    </row>
    <row r="1519" spans="1:9" x14ac:dyDescent="0.25">
      <c r="A1519"/>
      <c r="D1519"/>
      <c r="I1519"/>
    </row>
    <row r="1520" spans="1:9" x14ac:dyDescent="0.25">
      <c r="A1520"/>
      <c r="D1520"/>
      <c r="I1520"/>
    </row>
    <row r="1521" spans="1:9" x14ac:dyDescent="0.25">
      <c r="A1521"/>
      <c r="D1521"/>
      <c r="I1521"/>
    </row>
    <row r="1522" spans="1:9" x14ac:dyDescent="0.25">
      <c r="A1522"/>
      <c r="D1522"/>
      <c r="I1522"/>
    </row>
    <row r="1523" spans="1:9" x14ac:dyDescent="0.25">
      <c r="A1523"/>
      <c r="D1523"/>
      <c r="I1523"/>
    </row>
    <row r="1524" spans="1:9" x14ac:dyDescent="0.25">
      <c r="A1524"/>
      <c r="D1524"/>
      <c r="I1524"/>
    </row>
    <row r="1525" spans="1:9" x14ac:dyDescent="0.25">
      <c r="A1525"/>
      <c r="D1525"/>
      <c r="I1525"/>
    </row>
    <row r="1526" spans="1:9" x14ac:dyDescent="0.25">
      <c r="A1526"/>
      <c r="D1526"/>
      <c r="I1526"/>
    </row>
    <row r="1527" spans="1:9" x14ac:dyDescent="0.25">
      <c r="A1527"/>
      <c r="D1527"/>
      <c r="I1527"/>
    </row>
    <row r="1528" spans="1:9" x14ac:dyDescent="0.25">
      <c r="A1528"/>
      <c r="D1528"/>
      <c r="I1528"/>
    </row>
    <row r="1529" spans="1:9" x14ac:dyDescent="0.25">
      <c r="A1529"/>
      <c r="D1529"/>
      <c r="I1529"/>
    </row>
    <row r="1530" spans="1:9" x14ac:dyDescent="0.25">
      <c r="A1530"/>
      <c r="D1530"/>
      <c r="I1530"/>
    </row>
    <row r="1531" spans="1:9" x14ac:dyDescent="0.25">
      <c r="A1531"/>
      <c r="D1531"/>
      <c r="I1531"/>
    </row>
    <row r="1532" spans="1:9" x14ac:dyDescent="0.25">
      <c r="A1532"/>
      <c r="D1532"/>
      <c r="I1532"/>
    </row>
    <row r="1533" spans="1:9" x14ac:dyDescent="0.25">
      <c r="A1533"/>
      <c r="D1533"/>
      <c r="I1533"/>
    </row>
    <row r="1534" spans="1:9" x14ac:dyDescent="0.25">
      <c r="A1534"/>
      <c r="D1534"/>
      <c r="I1534"/>
    </row>
    <row r="1535" spans="1:9" x14ac:dyDescent="0.25">
      <c r="A1535"/>
      <c r="D1535"/>
      <c r="I1535"/>
    </row>
    <row r="1536" spans="1:9" x14ac:dyDescent="0.25">
      <c r="A1536"/>
      <c r="D1536"/>
      <c r="I1536"/>
    </row>
    <row r="1537" spans="1:9" x14ac:dyDescent="0.25">
      <c r="A1537"/>
      <c r="D1537"/>
      <c r="I1537"/>
    </row>
    <row r="1538" spans="1:9" x14ac:dyDescent="0.25">
      <c r="A1538"/>
      <c r="D1538"/>
      <c r="I1538"/>
    </row>
    <row r="1539" spans="1:9" x14ac:dyDescent="0.25">
      <c r="A1539"/>
      <c r="D1539"/>
      <c r="I1539"/>
    </row>
    <row r="1540" spans="1:9" x14ac:dyDescent="0.25">
      <c r="A1540"/>
      <c r="D1540"/>
      <c r="I1540"/>
    </row>
    <row r="1541" spans="1:9" x14ac:dyDescent="0.25">
      <c r="A1541"/>
      <c r="D1541"/>
      <c r="I1541"/>
    </row>
    <row r="1542" spans="1:9" x14ac:dyDescent="0.25">
      <c r="A1542"/>
      <c r="D1542"/>
      <c r="I1542"/>
    </row>
    <row r="1543" spans="1:9" x14ac:dyDescent="0.25">
      <c r="A1543"/>
      <c r="D1543"/>
      <c r="I1543"/>
    </row>
    <row r="1544" spans="1:9" x14ac:dyDescent="0.25">
      <c r="A1544"/>
      <c r="D1544"/>
      <c r="I1544"/>
    </row>
    <row r="1545" spans="1:9" x14ac:dyDescent="0.25">
      <c r="A1545"/>
      <c r="D1545"/>
      <c r="I1545"/>
    </row>
    <row r="1546" spans="1:9" x14ac:dyDescent="0.25">
      <c r="A1546"/>
      <c r="D1546"/>
      <c r="I1546"/>
    </row>
    <row r="1547" spans="1:9" x14ac:dyDescent="0.25">
      <c r="A1547"/>
      <c r="D1547"/>
      <c r="I1547"/>
    </row>
    <row r="1548" spans="1:9" x14ac:dyDescent="0.25">
      <c r="A1548"/>
      <c r="D1548"/>
      <c r="I1548"/>
    </row>
    <row r="1549" spans="1:9" x14ac:dyDescent="0.25">
      <c r="A1549"/>
      <c r="D1549"/>
      <c r="I1549"/>
    </row>
    <row r="1550" spans="1:9" x14ac:dyDescent="0.25">
      <c r="A1550"/>
      <c r="D1550"/>
      <c r="I1550"/>
    </row>
    <row r="1551" spans="1:9" x14ac:dyDescent="0.25">
      <c r="A1551"/>
      <c r="D1551"/>
      <c r="I1551"/>
    </row>
    <row r="1552" spans="1:9" x14ac:dyDescent="0.25">
      <c r="A1552"/>
      <c r="D1552"/>
      <c r="I1552"/>
    </row>
    <row r="1553" spans="1:9" x14ac:dyDescent="0.25">
      <c r="A1553"/>
      <c r="D1553"/>
      <c r="I1553"/>
    </row>
    <row r="1554" spans="1:9" x14ac:dyDescent="0.25">
      <c r="A1554"/>
      <c r="D1554"/>
      <c r="I1554"/>
    </row>
    <row r="1555" spans="1:9" x14ac:dyDescent="0.25">
      <c r="A1555"/>
      <c r="D1555"/>
      <c r="I1555"/>
    </row>
    <row r="1556" spans="1:9" x14ac:dyDescent="0.25">
      <c r="A1556"/>
      <c r="D1556"/>
      <c r="I1556"/>
    </row>
    <row r="1557" spans="1:9" x14ac:dyDescent="0.25">
      <c r="A1557"/>
      <c r="D1557"/>
      <c r="I1557"/>
    </row>
    <row r="1558" spans="1:9" x14ac:dyDescent="0.25">
      <c r="A1558"/>
      <c r="D1558"/>
      <c r="I1558"/>
    </row>
    <row r="1559" spans="1:9" x14ac:dyDescent="0.25">
      <c r="A1559"/>
      <c r="D1559"/>
      <c r="I1559"/>
    </row>
    <row r="1560" spans="1:9" x14ac:dyDescent="0.25">
      <c r="A1560"/>
      <c r="D1560"/>
      <c r="I1560"/>
    </row>
    <row r="1561" spans="1:9" x14ac:dyDescent="0.25">
      <c r="A1561"/>
      <c r="D1561"/>
      <c r="I1561"/>
    </row>
    <row r="1562" spans="1:9" x14ac:dyDescent="0.25">
      <c r="A1562"/>
      <c r="D1562"/>
      <c r="I1562"/>
    </row>
    <row r="1563" spans="1:9" x14ac:dyDescent="0.25">
      <c r="A1563"/>
      <c r="D1563"/>
      <c r="I1563"/>
    </row>
    <row r="1564" spans="1:9" x14ac:dyDescent="0.25">
      <c r="A1564"/>
      <c r="D1564"/>
      <c r="I1564"/>
    </row>
    <row r="1565" spans="1:9" x14ac:dyDescent="0.25">
      <c r="A1565"/>
      <c r="D1565"/>
      <c r="I1565"/>
    </row>
    <row r="1566" spans="1:9" x14ac:dyDescent="0.25">
      <c r="A1566"/>
      <c r="D1566"/>
      <c r="I1566"/>
    </row>
    <row r="1567" spans="1:9" x14ac:dyDescent="0.25">
      <c r="A1567"/>
      <c r="D1567"/>
      <c r="I1567"/>
    </row>
    <row r="1568" spans="1:9" x14ac:dyDescent="0.25">
      <c r="A1568"/>
      <c r="D1568"/>
      <c r="I1568"/>
    </row>
    <row r="1569" spans="1:9" x14ac:dyDescent="0.25">
      <c r="A1569"/>
      <c r="D1569"/>
      <c r="I1569"/>
    </row>
    <row r="1570" spans="1:9" x14ac:dyDescent="0.25">
      <c r="A1570"/>
      <c r="D1570"/>
      <c r="I1570"/>
    </row>
    <row r="1571" spans="1:9" x14ac:dyDescent="0.25">
      <c r="A1571"/>
      <c r="D1571"/>
      <c r="I1571"/>
    </row>
    <row r="1572" spans="1:9" x14ac:dyDescent="0.25">
      <c r="A1572"/>
      <c r="D1572"/>
      <c r="I1572"/>
    </row>
    <row r="1573" spans="1:9" x14ac:dyDescent="0.25">
      <c r="A1573"/>
      <c r="D1573"/>
      <c r="I1573"/>
    </row>
    <row r="1574" spans="1:9" x14ac:dyDescent="0.25">
      <c r="A1574"/>
      <c r="D1574"/>
      <c r="I1574"/>
    </row>
    <row r="1575" spans="1:9" x14ac:dyDescent="0.25">
      <c r="A1575"/>
      <c r="D1575"/>
      <c r="I1575"/>
    </row>
    <row r="1576" spans="1:9" x14ac:dyDescent="0.25">
      <c r="A1576"/>
      <c r="D1576"/>
      <c r="I1576"/>
    </row>
    <row r="1577" spans="1:9" x14ac:dyDescent="0.25">
      <c r="A1577"/>
      <c r="D1577"/>
      <c r="I1577"/>
    </row>
    <row r="1578" spans="1:9" x14ac:dyDescent="0.25">
      <c r="A1578"/>
      <c r="D1578"/>
      <c r="I1578"/>
    </row>
    <row r="1579" spans="1:9" x14ac:dyDescent="0.25">
      <c r="A1579"/>
      <c r="D1579"/>
      <c r="I1579"/>
    </row>
    <row r="1580" spans="1:9" x14ac:dyDescent="0.25">
      <c r="A1580"/>
      <c r="D1580"/>
      <c r="I1580"/>
    </row>
    <row r="1581" spans="1:9" x14ac:dyDescent="0.25">
      <c r="A1581"/>
      <c r="D1581"/>
      <c r="I1581"/>
    </row>
    <row r="1582" spans="1:9" x14ac:dyDescent="0.25">
      <c r="A1582"/>
      <c r="D1582"/>
      <c r="I1582"/>
    </row>
    <row r="1583" spans="1:9" x14ac:dyDescent="0.25">
      <c r="A1583"/>
      <c r="D1583"/>
      <c r="I1583"/>
    </row>
    <row r="1584" spans="1:9" x14ac:dyDescent="0.25">
      <c r="A1584"/>
      <c r="D1584"/>
      <c r="I1584"/>
    </row>
    <row r="1585" spans="1:9" x14ac:dyDescent="0.25">
      <c r="A1585"/>
      <c r="D1585"/>
      <c r="I1585"/>
    </row>
    <row r="1586" spans="1:9" x14ac:dyDescent="0.25">
      <c r="A1586"/>
      <c r="D1586"/>
      <c r="I1586"/>
    </row>
    <row r="1587" spans="1:9" x14ac:dyDescent="0.25">
      <c r="A1587"/>
      <c r="D1587"/>
      <c r="I1587"/>
    </row>
    <row r="1588" spans="1:9" x14ac:dyDescent="0.25">
      <c r="A1588"/>
      <c r="D1588"/>
      <c r="I1588"/>
    </row>
    <row r="1589" spans="1:9" x14ac:dyDescent="0.25">
      <c r="A1589"/>
      <c r="D1589"/>
      <c r="I1589"/>
    </row>
    <row r="1590" spans="1:9" x14ac:dyDescent="0.25">
      <c r="A1590"/>
      <c r="D1590"/>
      <c r="I1590"/>
    </row>
    <row r="1591" spans="1:9" x14ac:dyDescent="0.25">
      <c r="A1591"/>
      <c r="D1591"/>
      <c r="I1591"/>
    </row>
    <row r="1592" spans="1:9" x14ac:dyDescent="0.25">
      <c r="A1592"/>
      <c r="D1592"/>
      <c r="I1592"/>
    </row>
    <row r="1593" spans="1:9" x14ac:dyDescent="0.25">
      <c r="A1593"/>
      <c r="D1593"/>
      <c r="I1593"/>
    </row>
    <row r="1594" spans="1:9" x14ac:dyDescent="0.25">
      <c r="A1594"/>
      <c r="D1594"/>
      <c r="I1594"/>
    </row>
    <row r="1595" spans="1:9" x14ac:dyDescent="0.25">
      <c r="A1595"/>
      <c r="D1595"/>
      <c r="I1595"/>
    </row>
    <row r="1596" spans="1:9" x14ac:dyDescent="0.25">
      <c r="A1596"/>
      <c r="D1596"/>
      <c r="I1596"/>
    </row>
    <row r="1597" spans="1:9" x14ac:dyDescent="0.25">
      <c r="A1597"/>
      <c r="D1597"/>
      <c r="I1597"/>
    </row>
    <row r="1598" spans="1:9" x14ac:dyDescent="0.25">
      <c r="A1598"/>
      <c r="D1598"/>
      <c r="I1598"/>
    </row>
    <row r="1599" spans="1:9" x14ac:dyDescent="0.25">
      <c r="A1599"/>
      <c r="D1599"/>
      <c r="I1599"/>
    </row>
    <row r="1600" spans="1:9" x14ac:dyDescent="0.25">
      <c r="A1600"/>
      <c r="D1600"/>
      <c r="I1600"/>
    </row>
    <row r="1601" spans="1:9" x14ac:dyDescent="0.25">
      <c r="A1601"/>
      <c r="D1601"/>
      <c r="I1601"/>
    </row>
    <row r="1602" spans="1:9" x14ac:dyDescent="0.25">
      <c r="A1602"/>
      <c r="D1602"/>
      <c r="I1602"/>
    </row>
    <row r="1603" spans="1:9" x14ac:dyDescent="0.25">
      <c r="A1603"/>
      <c r="D1603"/>
      <c r="I1603"/>
    </row>
    <row r="1604" spans="1:9" x14ac:dyDescent="0.25">
      <c r="A1604"/>
      <c r="D1604"/>
      <c r="I1604"/>
    </row>
    <row r="1605" spans="1:9" x14ac:dyDescent="0.25">
      <c r="A1605"/>
      <c r="D1605"/>
      <c r="I1605"/>
    </row>
    <row r="1606" spans="1:9" x14ac:dyDescent="0.25">
      <c r="A1606"/>
      <c r="D1606"/>
      <c r="I1606"/>
    </row>
    <row r="1607" spans="1:9" x14ac:dyDescent="0.25">
      <c r="A1607"/>
      <c r="D1607"/>
      <c r="I1607"/>
    </row>
    <row r="1608" spans="1:9" x14ac:dyDescent="0.25">
      <c r="A1608"/>
      <c r="D1608"/>
      <c r="I1608"/>
    </row>
    <row r="1609" spans="1:9" x14ac:dyDescent="0.25">
      <c r="A1609"/>
      <c r="D1609"/>
      <c r="I1609"/>
    </row>
    <row r="1610" spans="1:9" x14ac:dyDescent="0.25">
      <c r="A1610"/>
      <c r="D1610"/>
      <c r="I1610"/>
    </row>
    <row r="1611" spans="1:9" x14ac:dyDescent="0.25">
      <c r="A1611"/>
      <c r="D1611"/>
      <c r="I1611"/>
    </row>
    <row r="1612" spans="1:9" x14ac:dyDescent="0.25">
      <c r="A1612"/>
      <c r="D1612"/>
      <c r="I1612"/>
    </row>
    <row r="1613" spans="1:9" x14ac:dyDescent="0.25">
      <c r="A1613"/>
      <c r="D1613"/>
      <c r="I1613"/>
    </row>
    <row r="1614" spans="1:9" x14ac:dyDescent="0.25">
      <c r="A1614"/>
      <c r="D1614"/>
      <c r="I1614"/>
    </row>
    <row r="1615" spans="1:9" x14ac:dyDescent="0.25">
      <c r="A1615"/>
      <c r="D1615"/>
      <c r="I1615"/>
    </row>
    <row r="1616" spans="1:9" x14ac:dyDescent="0.25">
      <c r="A1616"/>
      <c r="D1616"/>
      <c r="I1616"/>
    </row>
    <row r="1617" spans="1:9" x14ac:dyDescent="0.25">
      <c r="A1617"/>
      <c r="D1617"/>
      <c r="I1617"/>
    </row>
    <row r="1618" spans="1:9" x14ac:dyDescent="0.25">
      <c r="A1618"/>
      <c r="D1618"/>
      <c r="I1618"/>
    </row>
    <row r="1619" spans="1:9" x14ac:dyDescent="0.25">
      <c r="A1619"/>
      <c r="D1619"/>
      <c r="I1619"/>
    </row>
    <row r="1620" spans="1:9" x14ac:dyDescent="0.25">
      <c r="A1620"/>
      <c r="D1620"/>
      <c r="I1620"/>
    </row>
    <row r="1621" spans="1:9" x14ac:dyDescent="0.25">
      <c r="A1621"/>
      <c r="D1621"/>
      <c r="I1621"/>
    </row>
    <row r="1622" spans="1:9" x14ac:dyDescent="0.25">
      <c r="A1622"/>
      <c r="D1622"/>
      <c r="I1622"/>
    </row>
    <row r="1623" spans="1:9" x14ac:dyDescent="0.25">
      <c r="A1623"/>
      <c r="D1623"/>
      <c r="I1623"/>
    </row>
    <row r="1624" spans="1:9" x14ac:dyDescent="0.25">
      <c r="A1624"/>
      <c r="D1624"/>
      <c r="I1624"/>
    </row>
    <row r="1625" spans="1:9" x14ac:dyDescent="0.25">
      <c r="A1625"/>
      <c r="D1625"/>
      <c r="I1625"/>
    </row>
    <row r="1626" spans="1:9" x14ac:dyDescent="0.25">
      <c r="A1626"/>
      <c r="D1626"/>
      <c r="I1626"/>
    </row>
    <row r="1627" spans="1:9" x14ac:dyDescent="0.25">
      <c r="A1627"/>
      <c r="D1627"/>
      <c r="I1627"/>
    </row>
    <row r="1628" spans="1:9" x14ac:dyDescent="0.25">
      <c r="A1628"/>
      <c r="D1628"/>
      <c r="I1628"/>
    </row>
    <row r="1629" spans="1:9" x14ac:dyDescent="0.25">
      <c r="A1629"/>
      <c r="D1629"/>
      <c r="I1629"/>
    </row>
    <row r="1630" spans="1:9" x14ac:dyDescent="0.25">
      <c r="A1630"/>
      <c r="D1630"/>
      <c r="I1630"/>
    </row>
    <row r="1631" spans="1:9" x14ac:dyDescent="0.25">
      <c r="A1631"/>
      <c r="D1631"/>
      <c r="I1631"/>
    </row>
    <row r="1632" spans="1:9" x14ac:dyDescent="0.25">
      <c r="A1632"/>
      <c r="D1632"/>
      <c r="I1632"/>
    </row>
    <row r="1633" spans="1:9" x14ac:dyDescent="0.25">
      <c r="A1633"/>
      <c r="D1633"/>
      <c r="I1633"/>
    </row>
    <row r="1634" spans="1:9" x14ac:dyDescent="0.25">
      <c r="A1634"/>
      <c r="D1634"/>
      <c r="I1634"/>
    </row>
    <row r="1635" spans="1:9" x14ac:dyDescent="0.25">
      <c r="A1635"/>
      <c r="D1635"/>
      <c r="I1635"/>
    </row>
    <row r="1636" spans="1:9" x14ac:dyDescent="0.25">
      <c r="A1636"/>
      <c r="D1636"/>
      <c r="I1636"/>
    </row>
    <row r="1637" spans="1:9" x14ac:dyDescent="0.25">
      <c r="A1637"/>
      <c r="D1637"/>
      <c r="I1637"/>
    </row>
    <row r="1638" spans="1:9" x14ac:dyDescent="0.25">
      <c r="A1638"/>
      <c r="D1638"/>
      <c r="I1638"/>
    </row>
    <row r="1639" spans="1:9" x14ac:dyDescent="0.25">
      <c r="A1639"/>
      <c r="D1639"/>
      <c r="I1639"/>
    </row>
    <row r="1640" spans="1:9" x14ac:dyDescent="0.25">
      <c r="A1640"/>
      <c r="D1640"/>
      <c r="I1640"/>
    </row>
    <row r="1641" spans="1:9" x14ac:dyDescent="0.25">
      <c r="A1641"/>
      <c r="D1641"/>
      <c r="I1641"/>
    </row>
    <row r="1642" spans="1:9" x14ac:dyDescent="0.25">
      <c r="A1642"/>
      <c r="D1642"/>
      <c r="I1642"/>
    </row>
    <row r="1643" spans="1:9" x14ac:dyDescent="0.25">
      <c r="A1643"/>
      <c r="D1643"/>
      <c r="I1643"/>
    </row>
    <row r="1644" spans="1:9" x14ac:dyDescent="0.25">
      <c r="A1644"/>
      <c r="D1644"/>
      <c r="I1644"/>
    </row>
    <row r="1645" spans="1:9" x14ac:dyDescent="0.25">
      <c r="A1645"/>
      <c r="D1645"/>
      <c r="I1645"/>
    </row>
    <row r="1646" spans="1:9" x14ac:dyDescent="0.25">
      <c r="A1646"/>
      <c r="D1646"/>
      <c r="I1646"/>
    </row>
    <row r="1647" spans="1:9" x14ac:dyDescent="0.25">
      <c r="A1647"/>
      <c r="D1647"/>
      <c r="I1647"/>
    </row>
    <row r="1648" spans="1:9" x14ac:dyDescent="0.25">
      <c r="A1648"/>
      <c r="D1648"/>
      <c r="I1648"/>
    </row>
    <row r="1649" spans="1:9" x14ac:dyDescent="0.25">
      <c r="A1649"/>
      <c r="D1649"/>
      <c r="I1649"/>
    </row>
    <row r="1650" spans="1:9" x14ac:dyDescent="0.25">
      <c r="A1650"/>
      <c r="D1650"/>
      <c r="I1650"/>
    </row>
    <row r="1651" spans="1:9" x14ac:dyDescent="0.25">
      <c r="A1651"/>
      <c r="D1651"/>
      <c r="I1651"/>
    </row>
    <row r="1652" spans="1:9" x14ac:dyDescent="0.25">
      <c r="A1652"/>
      <c r="D1652"/>
      <c r="I1652"/>
    </row>
    <row r="1653" spans="1:9" x14ac:dyDescent="0.25">
      <c r="A1653"/>
      <c r="D1653"/>
      <c r="I1653"/>
    </row>
    <row r="1654" spans="1:9" x14ac:dyDescent="0.25">
      <c r="A1654"/>
      <c r="D1654"/>
      <c r="I1654"/>
    </row>
    <row r="1655" spans="1:9" x14ac:dyDescent="0.25">
      <c r="A1655"/>
      <c r="D1655"/>
      <c r="I1655"/>
    </row>
    <row r="1656" spans="1:9" x14ac:dyDescent="0.25">
      <c r="A1656"/>
      <c r="D1656"/>
      <c r="I1656"/>
    </row>
    <row r="1657" spans="1:9" x14ac:dyDescent="0.25">
      <c r="A1657"/>
      <c r="D1657"/>
      <c r="I1657"/>
    </row>
    <row r="1658" spans="1:9" x14ac:dyDescent="0.25">
      <c r="A1658"/>
      <c r="D1658"/>
      <c r="I1658"/>
    </row>
    <row r="1659" spans="1:9" x14ac:dyDescent="0.25">
      <c r="A1659"/>
      <c r="D1659"/>
      <c r="I1659"/>
    </row>
    <row r="1660" spans="1:9" x14ac:dyDescent="0.25">
      <c r="A1660"/>
      <c r="D1660"/>
      <c r="I1660"/>
    </row>
    <row r="1661" spans="1:9" x14ac:dyDescent="0.25">
      <c r="A1661"/>
      <c r="D1661"/>
      <c r="I1661"/>
    </row>
    <row r="1662" spans="1:9" x14ac:dyDescent="0.25">
      <c r="A1662"/>
      <c r="D1662"/>
      <c r="I1662"/>
    </row>
    <row r="1663" spans="1:9" x14ac:dyDescent="0.25">
      <c r="A1663"/>
      <c r="D1663"/>
      <c r="I1663"/>
    </row>
    <row r="1664" spans="1:9" x14ac:dyDescent="0.25">
      <c r="A1664"/>
      <c r="D1664"/>
      <c r="I1664"/>
    </row>
    <row r="1665" spans="1:9" x14ac:dyDescent="0.25">
      <c r="A1665"/>
      <c r="D1665"/>
      <c r="I1665"/>
    </row>
    <row r="1666" spans="1:9" x14ac:dyDescent="0.25">
      <c r="A1666"/>
      <c r="D1666"/>
      <c r="I1666"/>
    </row>
    <row r="1667" spans="1:9" x14ac:dyDescent="0.25">
      <c r="A1667"/>
      <c r="D1667"/>
      <c r="I1667"/>
    </row>
    <row r="1668" spans="1:9" x14ac:dyDescent="0.25">
      <c r="A1668"/>
      <c r="D1668"/>
      <c r="I1668"/>
    </row>
    <row r="1669" spans="1:9" x14ac:dyDescent="0.25">
      <c r="A1669"/>
      <c r="D1669"/>
      <c r="I1669"/>
    </row>
    <row r="1670" spans="1:9" x14ac:dyDescent="0.25">
      <c r="A1670"/>
      <c r="D1670"/>
      <c r="I1670"/>
    </row>
    <row r="1671" spans="1:9" x14ac:dyDescent="0.25">
      <c r="A1671"/>
      <c r="D1671"/>
      <c r="I1671"/>
    </row>
    <row r="1672" spans="1:9" x14ac:dyDescent="0.25">
      <c r="A1672"/>
      <c r="D1672"/>
      <c r="I1672"/>
    </row>
    <row r="1673" spans="1:9" x14ac:dyDescent="0.25">
      <c r="A1673"/>
      <c r="D1673"/>
      <c r="I1673"/>
    </row>
    <row r="1674" spans="1:9" x14ac:dyDescent="0.25">
      <c r="A1674"/>
      <c r="D1674"/>
      <c r="I1674"/>
    </row>
    <row r="1675" spans="1:9" x14ac:dyDescent="0.25">
      <c r="A1675"/>
      <c r="D1675"/>
      <c r="I1675"/>
    </row>
    <row r="1676" spans="1:9" x14ac:dyDescent="0.25">
      <c r="A1676"/>
      <c r="D1676"/>
      <c r="I1676"/>
    </row>
    <row r="1677" spans="1:9" x14ac:dyDescent="0.25">
      <c r="A1677"/>
      <c r="D1677"/>
      <c r="I1677"/>
    </row>
    <row r="1678" spans="1:9" x14ac:dyDescent="0.25">
      <c r="A1678"/>
      <c r="D1678"/>
      <c r="I1678"/>
    </row>
    <row r="1679" spans="1:9" x14ac:dyDescent="0.25">
      <c r="A1679"/>
      <c r="D1679"/>
      <c r="I1679"/>
    </row>
    <row r="1680" spans="1:9" x14ac:dyDescent="0.25">
      <c r="A1680"/>
      <c r="D1680"/>
      <c r="I1680"/>
    </row>
    <row r="1681" spans="1:9" x14ac:dyDescent="0.25">
      <c r="A1681"/>
      <c r="D1681"/>
      <c r="I1681"/>
    </row>
    <row r="1682" spans="1:9" x14ac:dyDescent="0.25">
      <c r="A1682"/>
      <c r="D1682"/>
      <c r="I1682"/>
    </row>
    <row r="1683" spans="1:9" x14ac:dyDescent="0.25">
      <c r="A1683"/>
      <c r="D1683"/>
      <c r="I1683"/>
    </row>
    <row r="1684" spans="1:9" x14ac:dyDescent="0.25">
      <c r="A1684"/>
      <c r="D1684"/>
      <c r="I1684"/>
    </row>
    <row r="1685" spans="1:9" x14ac:dyDescent="0.25">
      <c r="A1685"/>
      <c r="D1685"/>
      <c r="I1685"/>
    </row>
    <row r="1686" spans="1:9" x14ac:dyDescent="0.25">
      <c r="A1686"/>
      <c r="D1686"/>
      <c r="I1686"/>
    </row>
    <row r="1687" spans="1:9" x14ac:dyDescent="0.25">
      <c r="A1687"/>
      <c r="D1687"/>
      <c r="I1687"/>
    </row>
    <row r="1688" spans="1:9" x14ac:dyDescent="0.25">
      <c r="A1688"/>
      <c r="D1688"/>
      <c r="I1688"/>
    </row>
    <row r="1689" spans="1:9" x14ac:dyDescent="0.25">
      <c r="A1689"/>
      <c r="D1689"/>
      <c r="I1689"/>
    </row>
    <row r="1690" spans="1:9" x14ac:dyDescent="0.25">
      <c r="A1690"/>
      <c r="D1690"/>
      <c r="I1690"/>
    </row>
    <row r="1691" spans="1:9" x14ac:dyDescent="0.25">
      <c r="A1691"/>
      <c r="D1691"/>
      <c r="I1691"/>
    </row>
    <row r="1692" spans="1:9" x14ac:dyDescent="0.25">
      <c r="A1692"/>
      <c r="D1692"/>
      <c r="I1692"/>
    </row>
    <row r="1693" spans="1:9" x14ac:dyDescent="0.25">
      <c r="A1693"/>
      <c r="D1693"/>
      <c r="I1693"/>
    </row>
    <row r="1694" spans="1:9" x14ac:dyDescent="0.25">
      <c r="A1694"/>
      <c r="D1694"/>
      <c r="I1694"/>
    </row>
    <row r="1695" spans="1:9" x14ac:dyDescent="0.25">
      <c r="A1695"/>
      <c r="D1695"/>
      <c r="I1695"/>
    </row>
    <row r="1696" spans="1:9" x14ac:dyDescent="0.25">
      <c r="A1696"/>
      <c r="D1696"/>
      <c r="I1696"/>
    </row>
    <row r="1697" spans="1:9" x14ac:dyDescent="0.25">
      <c r="A1697"/>
      <c r="D1697"/>
      <c r="I1697"/>
    </row>
    <row r="1698" spans="1:9" x14ac:dyDescent="0.25">
      <c r="A1698"/>
      <c r="D1698"/>
      <c r="I1698"/>
    </row>
    <row r="1699" spans="1:9" x14ac:dyDescent="0.25">
      <c r="A1699"/>
      <c r="D1699"/>
      <c r="I1699"/>
    </row>
    <row r="1700" spans="1:9" x14ac:dyDescent="0.25">
      <c r="A1700"/>
      <c r="D1700"/>
      <c r="I1700"/>
    </row>
    <row r="1701" spans="1:9" x14ac:dyDescent="0.25">
      <c r="A1701"/>
      <c r="D1701"/>
      <c r="I1701"/>
    </row>
    <row r="1702" spans="1:9" x14ac:dyDescent="0.25">
      <c r="A1702"/>
      <c r="D1702"/>
      <c r="I1702"/>
    </row>
    <row r="1703" spans="1:9" x14ac:dyDescent="0.25">
      <c r="A1703"/>
      <c r="D1703"/>
      <c r="I1703"/>
    </row>
    <row r="1704" spans="1:9" x14ac:dyDescent="0.25">
      <c r="A1704"/>
      <c r="D1704"/>
      <c r="I1704"/>
    </row>
    <row r="1705" spans="1:9" x14ac:dyDescent="0.25">
      <c r="A1705"/>
      <c r="D1705"/>
      <c r="I1705"/>
    </row>
    <row r="1706" spans="1:9" x14ac:dyDescent="0.25">
      <c r="A1706"/>
      <c r="D1706"/>
      <c r="I1706"/>
    </row>
    <row r="1707" spans="1:9" x14ac:dyDescent="0.25">
      <c r="A1707"/>
      <c r="D1707"/>
      <c r="I1707"/>
    </row>
    <row r="1708" spans="1:9" x14ac:dyDescent="0.25">
      <c r="A1708"/>
      <c r="D1708"/>
      <c r="I1708"/>
    </row>
    <row r="1709" spans="1:9" x14ac:dyDescent="0.25">
      <c r="A1709"/>
      <c r="D1709"/>
      <c r="I1709"/>
    </row>
    <row r="1710" spans="1:9" x14ac:dyDescent="0.25">
      <c r="A1710"/>
      <c r="D1710"/>
      <c r="I1710"/>
    </row>
    <row r="1711" spans="1:9" x14ac:dyDescent="0.25">
      <c r="A1711"/>
      <c r="D1711"/>
      <c r="I1711"/>
    </row>
    <row r="1712" spans="1:9" x14ac:dyDescent="0.25">
      <c r="A1712"/>
      <c r="D1712"/>
      <c r="I1712"/>
    </row>
    <row r="1713" spans="1:9" x14ac:dyDescent="0.25">
      <c r="A1713"/>
      <c r="D1713"/>
      <c r="I1713"/>
    </row>
    <row r="1714" spans="1:9" x14ac:dyDescent="0.25">
      <c r="A1714"/>
      <c r="D1714"/>
      <c r="I1714"/>
    </row>
    <row r="1715" spans="1:9" x14ac:dyDescent="0.25">
      <c r="A1715"/>
      <c r="D1715"/>
      <c r="I1715"/>
    </row>
    <row r="1716" spans="1:9" x14ac:dyDescent="0.25">
      <c r="A1716"/>
      <c r="D1716"/>
      <c r="I1716"/>
    </row>
    <row r="1717" spans="1:9" x14ac:dyDescent="0.25">
      <c r="A1717"/>
      <c r="D1717"/>
      <c r="I1717"/>
    </row>
    <row r="1718" spans="1:9" x14ac:dyDescent="0.25">
      <c r="A1718"/>
      <c r="D1718"/>
      <c r="I1718"/>
    </row>
    <row r="1719" spans="1:9" x14ac:dyDescent="0.25">
      <c r="A1719"/>
      <c r="D1719"/>
      <c r="I1719"/>
    </row>
    <row r="1720" spans="1:9" x14ac:dyDescent="0.25">
      <c r="A1720"/>
      <c r="D1720"/>
      <c r="I1720"/>
    </row>
    <row r="1721" spans="1:9" x14ac:dyDescent="0.25">
      <c r="A1721"/>
      <c r="D1721"/>
      <c r="I1721"/>
    </row>
    <row r="1722" spans="1:9" x14ac:dyDescent="0.25">
      <c r="A1722"/>
      <c r="D1722"/>
      <c r="I1722"/>
    </row>
    <row r="1723" spans="1:9" x14ac:dyDescent="0.25">
      <c r="A1723"/>
      <c r="D1723"/>
      <c r="I1723"/>
    </row>
    <row r="1724" spans="1:9" x14ac:dyDescent="0.25">
      <c r="A1724"/>
      <c r="D1724"/>
      <c r="I1724"/>
    </row>
    <row r="1725" spans="1:9" x14ac:dyDescent="0.25">
      <c r="A1725"/>
      <c r="D1725"/>
      <c r="I1725"/>
    </row>
    <row r="1726" spans="1:9" x14ac:dyDescent="0.25">
      <c r="A1726"/>
      <c r="D1726"/>
      <c r="I1726"/>
    </row>
    <row r="1727" spans="1:9" x14ac:dyDescent="0.25">
      <c r="A1727"/>
      <c r="D1727"/>
      <c r="I1727"/>
    </row>
    <row r="1728" spans="1:9" x14ac:dyDescent="0.25">
      <c r="A1728"/>
      <c r="D1728"/>
      <c r="I1728"/>
    </row>
    <row r="1729" spans="1:9" x14ac:dyDescent="0.25">
      <c r="A1729"/>
      <c r="D1729"/>
      <c r="I1729"/>
    </row>
    <row r="1730" spans="1:9" x14ac:dyDescent="0.25">
      <c r="A1730"/>
      <c r="D1730"/>
      <c r="I1730"/>
    </row>
    <row r="1731" spans="1:9" x14ac:dyDescent="0.25">
      <c r="A1731"/>
      <c r="D1731"/>
      <c r="I1731"/>
    </row>
    <row r="1732" spans="1:9" x14ac:dyDescent="0.25">
      <c r="A1732"/>
      <c r="D1732"/>
      <c r="I1732"/>
    </row>
    <row r="1733" spans="1:9" x14ac:dyDescent="0.25">
      <c r="A1733"/>
      <c r="D1733"/>
      <c r="I1733"/>
    </row>
    <row r="1734" spans="1:9" x14ac:dyDescent="0.25">
      <c r="A1734"/>
      <c r="D1734"/>
      <c r="I1734"/>
    </row>
    <row r="1735" spans="1:9" x14ac:dyDescent="0.25">
      <c r="A1735"/>
      <c r="D1735"/>
      <c r="I1735"/>
    </row>
    <row r="1736" spans="1:9" x14ac:dyDescent="0.25">
      <c r="A1736"/>
      <c r="D1736"/>
      <c r="I1736"/>
    </row>
    <row r="1737" spans="1:9" x14ac:dyDescent="0.25">
      <c r="A1737"/>
      <c r="D1737"/>
      <c r="I1737"/>
    </row>
    <row r="1738" spans="1:9" x14ac:dyDescent="0.25">
      <c r="A1738"/>
      <c r="D1738"/>
      <c r="I1738"/>
    </row>
    <row r="1739" spans="1:9" x14ac:dyDescent="0.25">
      <c r="A1739"/>
      <c r="D1739"/>
      <c r="I1739"/>
    </row>
    <row r="1740" spans="1:9" x14ac:dyDescent="0.25">
      <c r="A1740"/>
      <c r="D1740"/>
      <c r="I1740"/>
    </row>
    <row r="1741" spans="1:9" x14ac:dyDescent="0.25">
      <c r="A1741"/>
      <c r="D1741"/>
      <c r="I1741"/>
    </row>
    <row r="1742" spans="1:9" x14ac:dyDescent="0.25">
      <c r="A1742"/>
      <c r="D1742"/>
      <c r="I1742"/>
    </row>
    <row r="1743" spans="1:9" x14ac:dyDescent="0.25">
      <c r="A1743"/>
      <c r="D1743"/>
      <c r="I1743"/>
    </row>
    <row r="1744" spans="1:9" x14ac:dyDescent="0.25">
      <c r="A1744"/>
      <c r="D1744"/>
      <c r="I1744"/>
    </row>
    <row r="1745" spans="1:9" x14ac:dyDescent="0.25">
      <c r="A1745"/>
      <c r="D1745"/>
      <c r="I1745"/>
    </row>
    <row r="1746" spans="1:9" x14ac:dyDescent="0.25">
      <c r="A1746"/>
      <c r="D1746"/>
      <c r="I1746"/>
    </row>
    <row r="1747" spans="1:9" x14ac:dyDescent="0.25">
      <c r="A1747"/>
      <c r="D1747"/>
      <c r="I1747"/>
    </row>
    <row r="1748" spans="1:9" x14ac:dyDescent="0.25">
      <c r="A1748"/>
      <c r="D1748"/>
      <c r="I1748"/>
    </row>
    <row r="1749" spans="1:9" x14ac:dyDescent="0.25">
      <c r="A1749"/>
      <c r="D1749"/>
      <c r="I1749"/>
    </row>
    <row r="1750" spans="1:9" x14ac:dyDescent="0.25">
      <c r="A1750"/>
      <c r="D1750"/>
      <c r="I1750"/>
    </row>
    <row r="1751" spans="1:9" x14ac:dyDescent="0.25">
      <c r="A1751"/>
      <c r="D1751"/>
      <c r="I1751"/>
    </row>
    <row r="1752" spans="1:9" x14ac:dyDescent="0.25">
      <c r="A1752"/>
      <c r="D1752"/>
      <c r="I1752"/>
    </row>
    <row r="1753" spans="1:9" x14ac:dyDescent="0.25">
      <c r="A1753"/>
      <c r="D1753"/>
      <c r="I1753"/>
    </row>
    <row r="1754" spans="1:9" x14ac:dyDescent="0.25">
      <c r="A1754"/>
      <c r="D1754"/>
      <c r="I1754"/>
    </row>
    <row r="1755" spans="1:9" x14ac:dyDescent="0.25">
      <c r="A1755"/>
      <c r="D1755"/>
      <c r="I1755"/>
    </row>
    <row r="1756" spans="1:9" x14ac:dyDescent="0.25">
      <c r="A1756"/>
      <c r="D1756"/>
      <c r="I1756"/>
    </row>
    <row r="1757" spans="1:9" x14ac:dyDescent="0.25">
      <c r="A1757"/>
      <c r="D1757"/>
      <c r="I1757"/>
    </row>
    <row r="1758" spans="1:9" x14ac:dyDescent="0.25">
      <c r="A1758"/>
      <c r="D1758"/>
      <c r="I1758"/>
    </row>
    <row r="1759" spans="1:9" x14ac:dyDescent="0.25">
      <c r="A1759"/>
      <c r="D1759"/>
      <c r="I1759"/>
    </row>
    <row r="1760" spans="1:9" x14ac:dyDescent="0.25">
      <c r="A1760"/>
      <c r="D1760"/>
      <c r="I1760"/>
    </row>
    <row r="1761" spans="1:9" x14ac:dyDescent="0.25">
      <c r="A1761"/>
      <c r="D1761"/>
      <c r="I1761"/>
    </row>
    <row r="1762" spans="1:9" x14ac:dyDescent="0.25">
      <c r="A1762"/>
      <c r="D1762"/>
      <c r="I1762"/>
    </row>
    <row r="1763" spans="1:9" x14ac:dyDescent="0.25">
      <c r="A1763"/>
      <c r="D1763"/>
      <c r="I1763"/>
    </row>
    <row r="1764" spans="1:9" x14ac:dyDescent="0.25">
      <c r="A1764"/>
      <c r="D1764"/>
      <c r="I1764"/>
    </row>
    <row r="1765" spans="1:9" x14ac:dyDescent="0.25">
      <c r="A1765"/>
      <c r="D1765"/>
      <c r="I1765"/>
    </row>
    <row r="1766" spans="1:9" x14ac:dyDescent="0.25">
      <c r="A1766"/>
      <c r="D1766"/>
      <c r="I1766"/>
    </row>
    <row r="1767" spans="1:9" x14ac:dyDescent="0.25">
      <c r="A1767"/>
      <c r="D1767"/>
      <c r="I1767"/>
    </row>
    <row r="1768" spans="1:9" x14ac:dyDescent="0.25">
      <c r="A1768"/>
      <c r="D1768"/>
      <c r="I1768"/>
    </row>
    <row r="1769" spans="1:9" x14ac:dyDescent="0.25">
      <c r="A1769"/>
      <c r="D1769"/>
      <c r="I1769"/>
    </row>
    <row r="1770" spans="1:9" x14ac:dyDescent="0.25">
      <c r="A1770"/>
      <c r="D1770"/>
      <c r="I1770"/>
    </row>
    <row r="1771" spans="1:9" x14ac:dyDescent="0.25">
      <c r="A1771"/>
      <c r="D1771"/>
      <c r="I1771"/>
    </row>
    <row r="1772" spans="1:9" x14ac:dyDescent="0.25">
      <c r="A1772"/>
      <c r="D1772"/>
      <c r="I1772"/>
    </row>
    <row r="1773" spans="1:9" x14ac:dyDescent="0.25">
      <c r="A1773"/>
      <c r="D1773"/>
      <c r="I1773"/>
    </row>
    <row r="1774" spans="1:9" x14ac:dyDescent="0.25">
      <c r="A1774"/>
      <c r="D1774"/>
      <c r="I1774"/>
    </row>
    <row r="1775" spans="1:9" x14ac:dyDescent="0.25">
      <c r="A1775"/>
      <c r="D1775"/>
      <c r="I1775"/>
    </row>
    <row r="1776" spans="1:9" x14ac:dyDescent="0.25">
      <c r="A1776"/>
      <c r="D1776"/>
      <c r="I1776"/>
    </row>
    <row r="1777" spans="1:9" x14ac:dyDescent="0.25">
      <c r="A1777"/>
      <c r="D1777"/>
      <c r="I1777"/>
    </row>
    <row r="1778" spans="1:9" x14ac:dyDescent="0.25">
      <c r="A1778"/>
      <c r="D1778"/>
      <c r="I1778"/>
    </row>
    <row r="1779" spans="1:9" x14ac:dyDescent="0.25">
      <c r="A1779"/>
      <c r="D1779"/>
      <c r="I1779"/>
    </row>
    <row r="1780" spans="1:9" x14ac:dyDescent="0.25">
      <c r="A1780"/>
      <c r="D1780"/>
      <c r="I1780"/>
    </row>
    <row r="1781" spans="1:9" x14ac:dyDescent="0.25">
      <c r="A1781"/>
      <c r="D1781"/>
      <c r="I1781"/>
    </row>
    <row r="1782" spans="1:9" x14ac:dyDescent="0.25">
      <c r="A1782"/>
      <c r="D1782"/>
      <c r="I1782"/>
    </row>
    <row r="1783" spans="1:9" x14ac:dyDescent="0.25">
      <c r="A1783"/>
      <c r="D1783"/>
      <c r="I1783"/>
    </row>
    <row r="1784" spans="1:9" x14ac:dyDescent="0.25">
      <c r="A1784"/>
      <c r="D1784"/>
      <c r="I1784"/>
    </row>
    <row r="1785" spans="1:9" x14ac:dyDescent="0.25">
      <c r="A1785"/>
      <c r="D1785"/>
      <c r="I1785"/>
    </row>
    <row r="1786" spans="1:9" x14ac:dyDescent="0.25">
      <c r="A1786"/>
      <c r="D1786"/>
      <c r="I1786"/>
    </row>
    <row r="1787" spans="1:9" x14ac:dyDescent="0.25">
      <c r="A1787"/>
      <c r="D1787"/>
      <c r="I1787"/>
    </row>
    <row r="1788" spans="1:9" x14ac:dyDescent="0.25">
      <c r="A1788"/>
      <c r="D1788"/>
      <c r="I1788"/>
    </row>
    <row r="1789" spans="1:9" x14ac:dyDescent="0.25">
      <c r="A1789"/>
      <c r="D1789"/>
      <c r="I1789"/>
    </row>
    <row r="1790" spans="1:9" x14ac:dyDescent="0.25">
      <c r="A1790"/>
      <c r="D1790"/>
      <c r="I1790"/>
    </row>
    <row r="1791" spans="1:9" x14ac:dyDescent="0.25">
      <c r="A1791"/>
      <c r="D1791"/>
      <c r="I1791"/>
    </row>
    <row r="1792" spans="1:9" x14ac:dyDescent="0.25">
      <c r="A1792"/>
      <c r="D1792"/>
      <c r="I1792"/>
    </row>
    <row r="1793" spans="1:9" x14ac:dyDescent="0.25">
      <c r="A1793"/>
      <c r="D1793"/>
      <c r="I1793"/>
    </row>
    <row r="1794" spans="1:9" x14ac:dyDescent="0.25">
      <c r="A1794"/>
      <c r="D1794"/>
      <c r="I1794"/>
    </row>
    <row r="1795" spans="1:9" x14ac:dyDescent="0.25">
      <c r="A1795"/>
      <c r="D1795"/>
      <c r="I1795"/>
    </row>
    <row r="1796" spans="1:9" x14ac:dyDescent="0.25">
      <c r="A1796"/>
      <c r="D1796"/>
      <c r="I1796"/>
    </row>
    <row r="1797" spans="1:9" x14ac:dyDescent="0.25">
      <c r="A1797"/>
      <c r="D1797"/>
      <c r="I1797"/>
    </row>
    <row r="1798" spans="1:9" x14ac:dyDescent="0.25">
      <c r="A1798"/>
      <c r="D1798"/>
      <c r="I1798"/>
    </row>
    <row r="1799" spans="1:9" x14ac:dyDescent="0.25">
      <c r="A1799"/>
      <c r="D1799"/>
      <c r="I1799"/>
    </row>
    <row r="1800" spans="1:9" x14ac:dyDescent="0.25">
      <c r="A1800"/>
      <c r="D1800"/>
      <c r="I1800"/>
    </row>
    <row r="1801" spans="1:9" x14ac:dyDescent="0.25">
      <c r="A1801"/>
      <c r="D1801"/>
      <c r="I1801"/>
    </row>
    <row r="1802" spans="1:9" x14ac:dyDescent="0.25">
      <c r="A1802"/>
      <c r="D1802"/>
      <c r="I1802"/>
    </row>
    <row r="1803" spans="1:9" x14ac:dyDescent="0.25">
      <c r="A1803"/>
      <c r="D1803"/>
      <c r="I1803"/>
    </row>
    <row r="1804" spans="1:9" x14ac:dyDescent="0.25">
      <c r="A1804"/>
      <c r="D1804"/>
      <c r="I1804"/>
    </row>
    <row r="1805" spans="1:9" x14ac:dyDescent="0.25">
      <c r="A1805"/>
      <c r="D1805"/>
      <c r="I1805"/>
    </row>
    <row r="1806" spans="1:9" x14ac:dyDescent="0.25">
      <c r="A1806"/>
      <c r="D1806"/>
      <c r="I1806"/>
    </row>
    <row r="1807" spans="1:9" x14ac:dyDescent="0.25">
      <c r="A1807"/>
      <c r="D1807"/>
      <c r="I1807"/>
    </row>
    <row r="1808" spans="1:9" x14ac:dyDescent="0.25">
      <c r="A1808"/>
      <c r="D1808"/>
      <c r="I1808"/>
    </row>
    <row r="1809" spans="1:9" x14ac:dyDescent="0.25">
      <c r="A1809"/>
      <c r="D1809"/>
      <c r="I1809"/>
    </row>
    <row r="1810" spans="1:9" x14ac:dyDescent="0.25">
      <c r="A1810"/>
      <c r="D1810"/>
      <c r="I1810"/>
    </row>
    <row r="1811" spans="1:9" x14ac:dyDescent="0.25">
      <c r="A1811"/>
      <c r="D1811"/>
      <c r="I1811"/>
    </row>
    <row r="1812" spans="1:9" x14ac:dyDescent="0.25">
      <c r="A1812"/>
      <c r="D1812"/>
      <c r="I1812"/>
    </row>
    <row r="1813" spans="1:9" x14ac:dyDescent="0.25">
      <c r="A1813"/>
      <c r="D1813"/>
      <c r="I1813"/>
    </row>
    <row r="1814" spans="1:9" x14ac:dyDescent="0.25">
      <c r="A1814"/>
      <c r="D1814"/>
      <c r="I1814"/>
    </row>
    <row r="1815" spans="1:9" x14ac:dyDescent="0.25">
      <c r="A1815"/>
      <c r="D1815"/>
      <c r="I1815"/>
    </row>
    <row r="1816" spans="1:9" x14ac:dyDescent="0.25">
      <c r="A1816"/>
      <c r="D1816"/>
      <c r="I1816"/>
    </row>
    <row r="1817" spans="1:9" x14ac:dyDescent="0.25">
      <c r="A1817"/>
      <c r="D1817"/>
      <c r="I1817"/>
    </row>
    <row r="1818" spans="1:9" x14ac:dyDescent="0.25">
      <c r="A1818"/>
      <c r="D1818"/>
      <c r="I1818"/>
    </row>
    <row r="1819" spans="1:9" x14ac:dyDescent="0.25">
      <c r="A1819"/>
      <c r="D1819"/>
      <c r="I1819"/>
    </row>
    <row r="1820" spans="1:9" x14ac:dyDescent="0.25">
      <c r="A1820"/>
      <c r="D1820"/>
      <c r="I1820"/>
    </row>
    <row r="1821" spans="1:9" x14ac:dyDescent="0.25">
      <c r="A1821"/>
      <c r="D1821"/>
      <c r="I1821"/>
    </row>
    <row r="1822" spans="1:9" x14ac:dyDescent="0.25">
      <c r="A1822"/>
      <c r="D1822"/>
      <c r="I1822"/>
    </row>
    <row r="1823" spans="1:9" x14ac:dyDescent="0.25">
      <c r="A1823"/>
      <c r="D1823"/>
      <c r="I1823"/>
    </row>
    <row r="1824" spans="1:9" x14ac:dyDescent="0.25">
      <c r="A1824"/>
      <c r="D1824"/>
      <c r="I1824"/>
    </row>
    <row r="1825" spans="1:9" x14ac:dyDescent="0.25">
      <c r="A1825"/>
      <c r="D1825"/>
      <c r="I1825"/>
    </row>
    <row r="1826" spans="1:9" x14ac:dyDescent="0.25">
      <c r="A1826"/>
      <c r="D1826"/>
      <c r="I1826"/>
    </row>
    <row r="1827" spans="1:9" x14ac:dyDescent="0.25">
      <c r="A1827"/>
      <c r="D1827"/>
      <c r="I1827"/>
    </row>
    <row r="1828" spans="1:9" x14ac:dyDescent="0.25">
      <c r="A1828"/>
      <c r="D1828"/>
      <c r="I1828"/>
    </row>
    <row r="1829" spans="1:9" x14ac:dyDescent="0.25">
      <c r="A1829"/>
      <c r="D1829"/>
      <c r="I1829"/>
    </row>
    <row r="1830" spans="1:9" x14ac:dyDescent="0.25">
      <c r="A1830"/>
      <c r="D1830"/>
      <c r="I1830"/>
    </row>
    <row r="1831" spans="1:9" x14ac:dyDescent="0.25">
      <c r="A1831"/>
      <c r="D1831"/>
      <c r="I1831"/>
    </row>
    <row r="1832" spans="1:9" x14ac:dyDescent="0.25">
      <c r="A1832"/>
      <c r="D1832"/>
      <c r="I1832"/>
    </row>
    <row r="1833" spans="1:9" x14ac:dyDescent="0.25">
      <c r="A1833"/>
      <c r="D1833"/>
      <c r="I1833"/>
    </row>
    <row r="1834" spans="1:9" x14ac:dyDescent="0.25">
      <c r="A1834"/>
      <c r="D1834"/>
      <c r="I1834"/>
    </row>
    <row r="1835" spans="1:9" x14ac:dyDescent="0.25">
      <c r="A1835"/>
      <c r="D1835"/>
      <c r="I1835"/>
    </row>
    <row r="1836" spans="1:9" x14ac:dyDescent="0.25">
      <c r="A1836"/>
      <c r="D1836"/>
      <c r="I1836"/>
    </row>
    <row r="1837" spans="1:9" x14ac:dyDescent="0.25">
      <c r="A1837"/>
      <c r="D1837"/>
      <c r="I1837"/>
    </row>
    <row r="1838" spans="1:9" x14ac:dyDescent="0.25">
      <c r="A1838"/>
      <c r="D1838"/>
      <c r="I1838"/>
    </row>
    <row r="1839" spans="1:9" x14ac:dyDescent="0.25">
      <c r="A1839"/>
      <c r="D1839"/>
      <c r="I1839"/>
    </row>
    <row r="1840" spans="1:9" x14ac:dyDescent="0.25">
      <c r="A1840"/>
      <c r="D1840"/>
      <c r="I1840"/>
    </row>
    <row r="1841" spans="1:9" x14ac:dyDescent="0.25">
      <c r="A1841"/>
      <c r="D1841"/>
      <c r="I1841"/>
    </row>
    <row r="1842" spans="1:9" x14ac:dyDescent="0.25">
      <c r="A1842"/>
      <c r="D1842"/>
      <c r="I1842"/>
    </row>
    <row r="1843" spans="1:9" x14ac:dyDescent="0.25">
      <c r="A1843"/>
      <c r="D1843"/>
      <c r="I1843"/>
    </row>
    <row r="1844" spans="1:9" x14ac:dyDescent="0.25">
      <c r="A1844"/>
      <c r="D1844"/>
      <c r="I1844"/>
    </row>
    <row r="1845" spans="1:9" x14ac:dyDescent="0.25">
      <c r="A1845"/>
      <c r="D1845"/>
      <c r="I1845"/>
    </row>
    <row r="1846" spans="1:9" x14ac:dyDescent="0.25">
      <c r="A1846"/>
      <c r="D1846"/>
      <c r="I1846"/>
    </row>
    <row r="1847" spans="1:9" x14ac:dyDescent="0.25">
      <c r="A1847"/>
      <c r="D1847"/>
      <c r="I1847"/>
    </row>
    <row r="1848" spans="1:9" x14ac:dyDescent="0.25">
      <c r="A1848"/>
      <c r="D1848"/>
      <c r="I1848"/>
    </row>
    <row r="1849" spans="1:9" x14ac:dyDescent="0.25">
      <c r="A1849"/>
      <c r="D1849"/>
      <c r="I1849"/>
    </row>
    <row r="1850" spans="1:9" x14ac:dyDescent="0.25">
      <c r="A1850"/>
      <c r="D1850"/>
      <c r="I1850"/>
    </row>
    <row r="1851" spans="1:9" x14ac:dyDescent="0.25">
      <c r="A1851"/>
      <c r="D1851"/>
      <c r="I1851"/>
    </row>
    <row r="1852" spans="1:9" x14ac:dyDescent="0.25">
      <c r="A1852"/>
      <c r="D1852"/>
      <c r="I1852"/>
    </row>
    <row r="1853" spans="1:9" x14ac:dyDescent="0.25">
      <c r="A1853"/>
      <c r="D1853"/>
      <c r="I1853"/>
    </row>
    <row r="1854" spans="1:9" x14ac:dyDescent="0.25">
      <c r="A1854"/>
      <c r="D1854"/>
      <c r="I1854"/>
    </row>
    <row r="1855" spans="1:9" x14ac:dyDescent="0.25">
      <c r="A1855"/>
      <c r="D1855"/>
      <c r="I1855"/>
    </row>
    <row r="1856" spans="1:9" x14ac:dyDescent="0.25">
      <c r="A1856"/>
      <c r="D1856"/>
      <c r="I1856"/>
    </row>
    <row r="1857" spans="1:9" x14ac:dyDescent="0.25">
      <c r="A1857"/>
      <c r="D1857"/>
      <c r="I1857"/>
    </row>
    <row r="1858" spans="1:9" x14ac:dyDescent="0.25">
      <c r="A1858"/>
      <c r="D1858"/>
      <c r="I1858"/>
    </row>
    <row r="1859" spans="1:9" x14ac:dyDescent="0.25">
      <c r="A1859"/>
      <c r="D1859"/>
      <c r="I1859"/>
    </row>
    <row r="1860" spans="1:9" x14ac:dyDescent="0.25">
      <c r="A1860"/>
      <c r="D1860"/>
      <c r="I1860"/>
    </row>
    <row r="1861" spans="1:9" x14ac:dyDescent="0.25">
      <c r="A1861"/>
      <c r="D1861"/>
      <c r="I1861"/>
    </row>
    <row r="1862" spans="1:9" x14ac:dyDescent="0.25">
      <c r="A1862"/>
      <c r="D1862"/>
      <c r="I1862"/>
    </row>
    <row r="1863" spans="1:9" x14ac:dyDescent="0.25">
      <c r="A1863"/>
      <c r="D1863"/>
      <c r="I1863"/>
    </row>
    <row r="1864" spans="1:9" x14ac:dyDescent="0.25">
      <c r="A1864"/>
      <c r="D1864"/>
      <c r="I1864"/>
    </row>
    <row r="1865" spans="1:9" x14ac:dyDescent="0.25">
      <c r="A1865"/>
      <c r="D1865"/>
      <c r="I1865"/>
    </row>
    <row r="1866" spans="1:9" x14ac:dyDescent="0.25">
      <c r="A1866"/>
      <c r="D1866"/>
      <c r="I1866"/>
    </row>
    <row r="1867" spans="1:9" x14ac:dyDescent="0.25">
      <c r="A1867"/>
      <c r="D1867"/>
      <c r="I1867"/>
    </row>
    <row r="1868" spans="1:9" x14ac:dyDescent="0.25">
      <c r="A1868"/>
      <c r="D1868"/>
      <c r="I1868"/>
    </row>
    <row r="1869" spans="1:9" x14ac:dyDescent="0.25">
      <c r="A1869"/>
      <c r="D1869"/>
      <c r="I1869"/>
    </row>
    <row r="1870" spans="1:9" x14ac:dyDescent="0.25">
      <c r="A1870"/>
      <c r="D1870"/>
      <c r="I1870"/>
    </row>
    <row r="1871" spans="1:9" x14ac:dyDescent="0.25">
      <c r="A1871"/>
      <c r="D1871"/>
      <c r="I1871"/>
    </row>
    <row r="1872" spans="1:9" x14ac:dyDescent="0.25">
      <c r="A1872"/>
      <c r="D1872"/>
      <c r="I1872"/>
    </row>
    <row r="1873" spans="1:9" x14ac:dyDescent="0.25">
      <c r="A1873"/>
      <c r="D1873"/>
      <c r="I1873"/>
    </row>
    <row r="1874" spans="1:9" x14ac:dyDescent="0.25">
      <c r="A1874"/>
      <c r="D1874"/>
      <c r="I1874"/>
    </row>
    <row r="1875" spans="1:9" x14ac:dyDescent="0.25">
      <c r="A1875"/>
      <c r="D1875"/>
      <c r="I1875"/>
    </row>
    <row r="1876" spans="1:9" x14ac:dyDescent="0.25">
      <c r="A1876"/>
      <c r="D1876"/>
      <c r="I1876"/>
    </row>
    <row r="1877" spans="1:9" x14ac:dyDescent="0.25">
      <c r="A1877"/>
      <c r="D1877"/>
      <c r="I1877"/>
    </row>
    <row r="1878" spans="1:9" x14ac:dyDescent="0.25">
      <c r="A1878"/>
      <c r="D1878"/>
      <c r="I1878"/>
    </row>
    <row r="1879" spans="1:9" x14ac:dyDescent="0.25">
      <c r="A1879"/>
      <c r="D1879"/>
      <c r="I1879"/>
    </row>
    <row r="1880" spans="1:9" x14ac:dyDescent="0.25">
      <c r="A1880"/>
      <c r="D1880"/>
      <c r="I1880"/>
    </row>
    <row r="1881" spans="1:9" x14ac:dyDescent="0.25">
      <c r="A1881"/>
      <c r="D1881"/>
      <c r="I1881"/>
    </row>
    <row r="1882" spans="1:9" x14ac:dyDescent="0.25">
      <c r="A1882"/>
      <c r="D1882"/>
      <c r="I1882"/>
    </row>
    <row r="1883" spans="1:9" x14ac:dyDescent="0.25">
      <c r="A1883"/>
      <c r="D1883"/>
      <c r="I1883"/>
    </row>
    <row r="1884" spans="1:9" x14ac:dyDescent="0.25">
      <c r="A1884"/>
      <c r="D1884"/>
      <c r="I1884"/>
    </row>
    <row r="1885" spans="1:9" x14ac:dyDescent="0.25">
      <c r="A1885"/>
      <c r="D1885"/>
      <c r="I1885"/>
    </row>
    <row r="1886" spans="1:9" x14ac:dyDescent="0.25">
      <c r="A1886"/>
      <c r="D1886"/>
      <c r="I1886"/>
    </row>
    <row r="1887" spans="1:9" x14ac:dyDescent="0.25">
      <c r="A1887"/>
      <c r="D1887"/>
      <c r="I1887"/>
    </row>
    <row r="1888" spans="1:9" x14ac:dyDescent="0.25">
      <c r="A1888"/>
      <c r="D1888"/>
      <c r="I1888"/>
    </row>
    <row r="1889" spans="1:9" x14ac:dyDescent="0.25">
      <c r="A1889"/>
      <c r="D1889"/>
      <c r="I1889"/>
    </row>
    <row r="1890" spans="1:9" x14ac:dyDescent="0.25">
      <c r="A1890"/>
      <c r="D1890"/>
      <c r="I1890"/>
    </row>
    <row r="1891" spans="1:9" x14ac:dyDescent="0.25">
      <c r="A1891"/>
      <c r="D1891"/>
      <c r="I1891"/>
    </row>
    <row r="1892" spans="1:9" x14ac:dyDescent="0.25">
      <c r="A1892"/>
      <c r="D1892"/>
      <c r="I1892"/>
    </row>
    <row r="1893" spans="1:9" x14ac:dyDescent="0.25">
      <c r="A1893"/>
      <c r="D1893"/>
      <c r="I1893"/>
    </row>
    <row r="1894" spans="1:9" x14ac:dyDescent="0.25">
      <c r="A1894"/>
      <c r="D1894"/>
      <c r="I1894"/>
    </row>
    <row r="1895" spans="1:9" x14ac:dyDescent="0.25">
      <c r="A1895"/>
      <c r="D1895"/>
      <c r="I1895"/>
    </row>
    <row r="1896" spans="1:9" x14ac:dyDescent="0.25">
      <c r="A1896"/>
      <c r="D1896"/>
      <c r="I1896"/>
    </row>
    <row r="1897" spans="1:9" x14ac:dyDescent="0.25">
      <c r="A1897"/>
      <c r="D1897"/>
      <c r="I1897"/>
    </row>
    <row r="1898" spans="1:9" x14ac:dyDescent="0.25">
      <c r="A1898"/>
      <c r="D1898"/>
      <c r="I1898"/>
    </row>
    <row r="1899" spans="1:9" x14ac:dyDescent="0.25">
      <c r="A1899"/>
      <c r="D1899"/>
      <c r="I1899"/>
    </row>
    <row r="1900" spans="1:9" x14ac:dyDescent="0.25">
      <c r="A1900"/>
      <c r="D1900"/>
      <c r="I1900"/>
    </row>
    <row r="1901" spans="1:9" x14ac:dyDescent="0.25">
      <c r="A1901"/>
      <c r="D1901"/>
      <c r="I1901"/>
    </row>
    <row r="1902" spans="1:9" x14ac:dyDescent="0.25">
      <c r="A1902"/>
      <c r="D1902"/>
      <c r="I1902"/>
    </row>
    <row r="1903" spans="1:9" x14ac:dyDescent="0.25">
      <c r="A1903"/>
      <c r="D1903"/>
      <c r="I1903"/>
    </row>
    <row r="1904" spans="1:9" x14ac:dyDescent="0.25">
      <c r="A1904"/>
      <c r="D1904"/>
      <c r="I1904"/>
    </row>
    <row r="1905" spans="1:9" x14ac:dyDescent="0.25">
      <c r="A1905"/>
      <c r="D1905"/>
      <c r="I1905"/>
    </row>
    <row r="1906" spans="1:9" x14ac:dyDescent="0.25">
      <c r="A1906"/>
      <c r="D1906"/>
      <c r="I1906"/>
    </row>
    <row r="1907" spans="1:9" x14ac:dyDescent="0.25">
      <c r="A1907"/>
      <c r="D1907"/>
      <c r="I1907"/>
    </row>
    <row r="1908" spans="1:9" x14ac:dyDescent="0.25">
      <c r="A1908"/>
      <c r="D1908"/>
      <c r="I1908"/>
    </row>
    <row r="1909" spans="1:9" x14ac:dyDescent="0.25">
      <c r="A1909"/>
      <c r="D1909"/>
      <c r="I1909"/>
    </row>
    <row r="1910" spans="1:9" x14ac:dyDescent="0.25">
      <c r="A1910"/>
      <c r="D1910"/>
      <c r="I1910"/>
    </row>
    <row r="1911" spans="1:9" x14ac:dyDescent="0.25">
      <c r="A1911"/>
      <c r="D1911"/>
      <c r="I1911"/>
    </row>
    <row r="1912" spans="1:9" x14ac:dyDescent="0.25">
      <c r="A1912"/>
      <c r="D1912"/>
      <c r="I1912"/>
    </row>
    <row r="1913" spans="1:9" x14ac:dyDescent="0.25">
      <c r="A1913"/>
      <c r="D1913"/>
      <c r="I1913"/>
    </row>
    <row r="1914" spans="1:9" x14ac:dyDescent="0.25">
      <c r="A1914"/>
      <c r="D1914"/>
      <c r="I1914"/>
    </row>
    <row r="1915" spans="1:9" x14ac:dyDescent="0.25">
      <c r="A1915"/>
      <c r="D1915"/>
      <c r="I1915"/>
    </row>
    <row r="1916" spans="1:9" x14ac:dyDescent="0.25">
      <c r="A1916"/>
      <c r="D1916"/>
      <c r="I1916"/>
    </row>
    <row r="1917" spans="1:9" x14ac:dyDescent="0.25">
      <c r="A1917"/>
      <c r="D1917"/>
      <c r="I1917"/>
    </row>
    <row r="1918" spans="1:9" x14ac:dyDescent="0.25">
      <c r="A1918"/>
      <c r="D1918"/>
      <c r="I1918"/>
    </row>
    <row r="1919" spans="1:9" x14ac:dyDescent="0.25">
      <c r="A1919"/>
      <c r="D1919"/>
      <c r="I1919"/>
    </row>
    <row r="1920" spans="1:9" x14ac:dyDescent="0.25">
      <c r="A1920"/>
      <c r="D1920"/>
      <c r="I1920"/>
    </row>
    <row r="1921" spans="1:9" x14ac:dyDescent="0.25">
      <c r="A1921"/>
      <c r="D1921"/>
      <c r="I1921"/>
    </row>
    <row r="1922" spans="1:9" x14ac:dyDescent="0.25">
      <c r="A1922"/>
      <c r="D1922"/>
      <c r="I1922"/>
    </row>
    <row r="1923" spans="1:9" x14ac:dyDescent="0.25">
      <c r="A1923"/>
      <c r="D1923"/>
      <c r="I1923"/>
    </row>
    <row r="1924" spans="1:9" x14ac:dyDescent="0.25">
      <c r="A1924"/>
      <c r="D1924"/>
      <c r="I1924"/>
    </row>
    <row r="1925" spans="1:9" x14ac:dyDescent="0.25">
      <c r="A1925"/>
      <c r="D1925"/>
      <c r="I1925"/>
    </row>
    <row r="1926" spans="1:9" x14ac:dyDescent="0.25">
      <c r="A1926"/>
      <c r="D1926"/>
      <c r="I1926"/>
    </row>
    <row r="1927" spans="1:9" x14ac:dyDescent="0.25">
      <c r="A1927"/>
      <c r="D1927"/>
      <c r="I1927"/>
    </row>
    <row r="1928" spans="1:9" x14ac:dyDescent="0.25">
      <c r="A1928"/>
      <c r="D1928"/>
      <c r="I1928"/>
    </row>
    <row r="1929" spans="1:9" x14ac:dyDescent="0.25">
      <c r="A1929"/>
      <c r="D1929"/>
      <c r="I1929"/>
    </row>
    <row r="1930" spans="1:9" x14ac:dyDescent="0.25">
      <c r="A1930"/>
      <c r="D1930"/>
      <c r="I1930"/>
    </row>
    <row r="1931" spans="1:9" x14ac:dyDescent="0.25">
      <c r="A1931"/>
      <c r="D1931"/>
      <c r="I1931"/>
    </row>
    <row r="1932" spans="1:9" x14ac:dyDescent="0.25">
      <c r="A1932"/>
      <c r="D1932"/>
      <c r="I1932"/>
    </row>
    <row r="1933" spans="1:9" x14ac:dyDescent="0.25">
      <c r="A1933"/>
      <c r="D1933"/>
      <c r="I1933"/>
    </row>
    <row r="1934" spans="1:9" x14ac:dyDescent="0.25">
      <c r="A1934"/>
      <c r="D1934"/>
      <c r="I1934"/>
    </row>
    <row r="1935" spans="1:9" x14ac:dyDescent="0.25">
      <c r="A1935"/>
      <c r="D1935"/>
      <c r="I1935"/>
    </row>
    <row r="1936" spans="1:9" x14ac:dyDescent="0.25">
      <c r="A1936"/>
      <c r="D1936"/>
      <c r="I1936"/>
    </row>
    <row r="1937" spans="1:9" x14ac:dyDescent="0.25">
      <c r="A1937"/>
      <c r="D1937"/>
      <c r="I1937"/>
    </row>
    <row r="1938" spans="1:9" x14ac:dyDescent="0.25">
      <c r="A1938"/>
      <c r="D1938"/>
      <c r="I1938"/>
    </row>
    <row r="1939" spans="1:9" x14ac:dyDescent="0.25">
      <c r="A1939"/>
      <c r="D1939"/>
      <c r="I1939"/>
    </row>
    <row r="1940" spans="1:9" x14ac:dyDescent="0.25">
      <c r="A1940"/>
      <c r="D1940"/>
      <c r="I1940"/>
    </row>
    <row r="1941" spans="1:9" x14ac:dyDescent="0.25">
      <c r="A1941"/>
      <c r="D1941"/>
      <c r="I1941"/>
    </row>
    <row r="1942" spans="1:9" x14ac:dyDescent="0.25">
      <c r="A1942"/>
      <c r="D1942"/>
      <c r="I1942"/>
    </row>
    <row r="1943" spans="1:9" x14ac:dyDescent="0.25">
      <c r="A1943"/>
      <c r="D1943"/>
      <c r="I1943"/>
    </row>
    <row r="1944" spans="1:9" x14ac:dyDescent="0.25">
      <c r="A1944"/>
      <c r="D1944"/>
      <c r="I1944"/>
    </row>
    <row r="1945" spans="1:9" x14ac:dyDescent="0.25">
      <c r="A1945"/>
      <c r="D1945"/>
      <c r="I1945"/>
    </row>
    <row r="1946" spans="1:9" x14ac:dyDescent="0.25">
      <c r="A1946"/>
      <c r="D1946"/>
      <c r="I1946"/>
    </row>
    <row r="1947" spans="1:9" x14ac:dyDescent="0.25">
      <c r="A1947"/>
      <c r="D1947"/>
      <c r="I1947"/>
    </row>
    <row r="1948" spans="1:9" x14ac:dyDescent="0.25">
      <c r="A1948"/>
      <c r="D1948"/>
      <c r="I1948"/>
    </row>
    <row r="1949" spans="1:9" x14ac:dyDescent="0.25">
      <c r="A1949"/>
      <c r="D1949"/>
      <c r="I1949"/>
    </row>
    <row r="1950" spans="1:9" x14ac:dyDescent="0.25">
      <c r="A1950"/>
      <c r="D1950"/>
      <c r="I1950"/>
    </row>
    <row r="1951" spans="1:9" x14ac:dyDescent="0.25">
      <c r="A1951"/>
      <c r="D1951"/>
      <c r="I1951"/>
    </row>
    <row r="1952" spans="1:9" x14ac:dyDescent="0.25">
      <c r="A1952"/>
      <c r="D1952"/>
      <c r="I1952"/>
    </row>
    <row r="1953" spans="1:9" x14ac:dyDescent="0.25">
      <c r="A1953"/>
      <c r="D1953"/>
      <c r="I1953"/>
    </row>
    <row r="1954" spans="1:9" x14ac:dyDescent="0.25">
      <c r="A1954"/>
      <c r="D1954"/>
      <c r="I1954"/>
    </row>
    <row r="1955" spans="1:9" x14ac:dyDescent="0.25">
      <c r="A1955"/>
      <c r="D1955"/>
      <c r="I1955"/>
    </row>
    <row r="1956" spans="1:9" x14ac:dyDescent="0.25">
      <c r="A1956"/>
      <c r="D1956"/>
      <c r="I1956"/>
    </row>
    <row r="1957" spans="1:9" x14ac:dyDescent="0.25">
      <c r="A1957"/>
      <c r="D1957"/>
      <c r="I1957"/>
    </row>
    <row r="1958" spans="1:9" x14ac:dyDescent="0.25">
      <c r="A1958"/>
      <c r="D1958"/>
      <c r="I1958"/>
    </row>
    <row r="1959" spans="1:9" x14ac:dyDescent="0.25">
      <c r="A1959"/>
      <c r="D1959"/>
      <c r="I1959"/>
    </row>
    <row r="1960" spans="1:9" x14ac:dyDescent="0.25">
      <c r="A1960"/>
      <c r="D1960"/>
      <c r="I1960"/>
    </row>
    <row r="1961" spans="1:9" x14ac:dyDescent="0.25">
      <c r="A1961"/>
      <c r="D1961"/>
      <c r="I1961"/>
    </row>
    <row r="1962" spans="1:9" x14ac:dyDescent="0.25">
      <c r="A1962"/>
      <c r="D1962"/>
      <c r="I1962"/>
    </row>
    <row r="1963" spans="1:9" x14ac:dyDescent="0.25">
      <c r="A1963"/>
      <c r="D1963"/>
      <c r="I1963"/>
    </row>
    <row r="1964" spans="1:9" x14ac:dyDescent="0.25">
      <c r="A1964"/>
      <c r="D1964"/>
      <c r="I1964"/>
    </row>
    <row r="1965" spans="1:9" x14ac:dyDescent="0.25">
      <c r="A1965"/>
      <c r="D1965"/>
      <c r="I1965"/>
    </row>
    <row r="1966" spans="1:9" x14ac:dyDescent="0.25">
      <c r="A1966"/>
      <c r="D1966"/>
      <c r="I1966"/>
    </row>
    <row r="1967" spans="1:9" x14ac:dyDescent="0.25">
      <c r="A1967"/>
      <c r="D1967"/>
      <c r="I1967"/>
    </row>
    <row r="1968" spans="1:9" x14ac:dyDescent="0.25">
      <c r="A1968"/>
      <c r="D1968"/>
      <c r="I1968"/>
    </row>
    <row r="1969" spans="1:9" x14ac:dyDescent="0.25">
      <c r="A1969"/>
      <c r="D1969"/>
      <c r="I1969"/>
    </row>
    <row r="1970" spans="1:9" x14ac:dyDescent="0.25">
      <c r="A1970"/>
      <c r="D1970"/>
      <c r="I1970"/>
    </row>
    <row r="1971" spans="1:9" x14ac:dyDescent="0.25">
      <c r="A1971"/>
      <c r="D1971"/>
      <c r="I1971"/>
    </row>
    <row r="1972" spans="1:9" x14ac:dyDescent="0.25">
      <c r="A1972"/>
      <c r="D1972"/>
      <c r="I1972"/>
    </row>
    <row r="1973" spans="1:9" x14ac:dyDescent="0.25">
      <c r="A1973"/>
      <c r="D1973"/>
      <c r="I1973"/>
    </row>
    <row r="1974" spans="1:9" x14ac:dyDescent="0.25">
      <c r="A1974"/>
      <c r="D1974"/>
      <c r="I1974"/>
    </row>
    <row r="1975" spans="1:9" x14ac:dyDescent="0.25">
      <c r="A1975"/>
      <c r="D1975"/>
      <c r="I1975"/>
    </row>
    <row r="1976" spans="1:9" x14ac:dyDescent="0.25">
      <c r="A1976"/>
      <c r="D1976"/>
      <c r="I1976"/>
    </row>
    <row r="1977" spans="1:9" x14ac:dyDescent="0.25">
      <c r="A1977"/>
      <c r="D1977"/>
      <c r="I1977"/>
    </row>
    <row r="1978" spans="1:9" x14ac:dyDescent="0.25">
      <c r="A1978"/>
      <c r="D1978"/>
      <c r="I1978"/>
    </row>
    <row r="1979" spans="1:9" x14ac:dyDescent="0.25">
      <c r="A1979"/>
      <c r="D1979"/>
      <c r="I1979"/>
    </row>
    <row r="1980" spans="1:9" x14ac:dyDescent="0.25">
      <c r="A1980"/>
      <c r="D1980"/>
      <c r="I1980"/>
    </row>
    <row r="1981" spans="1:9" x14ac:dyDescent="0.25">
      <c r="A1981"/>
      <c r="D1981"/>
      <c r="I1981"/>
    </row>
    <row r="1982" spans="1:9" x14ac:dyDescent="0.25">
      <c r="A1982"/>
      <c r="D1982"/>
      <c r="I1982"/>
    </row>
    <row r="1983" spans="1:9" x14ac:dyDescent="0.25">
      <c r="A1983"/>
      <c r="D1983"/>
      <c r="I1983"/>
    </row>
    <row r="1984" spans="1:9" x14ac:dyDescent="0.25">
      <c r="A1984"/>
      <c r="D1984"/>
      <c r="I1984"/>
    </row>
    <row r="1985" spans="1:9" x14ac:dyDescent="0.25">
      <c r="A1985"/>
      <c r="D1985"/>
      <c r="I1985"/>
    </row>
    <row r="1986" spans="1:9" x14ac:dyDescent="0.25">
      <c r="A1986"/>
      <c r="D1986"/>
      <c r="I1986"/>
    </row>
    <row r="1987" spans="1:9" x14ac:dyDescent="0.25">
      <c r="A1987"/>
      <c r="D1987"/>
      <c r="I1987"/>
    </row>
    <row r="1988" spans="1:9" x14ac:dyDescent="0.25">
      <c r="A1988"/>
      <c r="D1988"/>
      <c r="I1988"/>
    </row>
    <row r="1989" spans="1:9" x14ac:dyDescent="0.25">
      <c r="A1989"/>
      <c r="D1989"/>
      <c r="I1989"/>
    </row>
    <row r="1990" spans="1:9" x14ac:dyDescent="0.25">
      <c r="A1990"/>
      <c r="D1990"/>
      <c r="I1990"/>
    </row>
    <row r="1991" spans="1:9" x14ac:dyDescent="0.25">
      <c r="A1991"/>
      <c r="D1991"/>
      <c r="I1991"/>
    </row>
    <row r="1992" spans="1:9" x14ac:dyDescent="0.25">
      <c r="A1992"/>
      <c r="D1992"/>
      <c r="I1992"/>
    </row>
    <row r="1993" spans="1:9" x14ac:dyDescent="0.25">
      <c r="A1993"/>
      <c r="D1993"/>
      <c r="I1993"/>
    </row>
    <row r="1994" spans="1:9" x14ac:dyDescent="0.25">
      <c r="A1994"/>
      <c r="D1994"/>
      <c r="I1994"/>
    </row>
    <row r="1995" spans="1:9" x14ac:dyDescent="0.25">
      <c r="A1995"/>
      <c r="D1995"/>
      <c r="I1995"/>
    </row>
    <row r="1996" spans="1:9" x14ac:dyDescent="0.25">
      <c r="A1996"/>
      <c r="D1996"/>
      <c r="I1996"/>
    </row>
    <row r="1997" spans="1:9" x14ac:dyDescent="0.25">
      <c r="A1997"/>
      <c r="D1997"/>
      <c r="I1997"/>
    </row>
    <row r="1998" spans="1:9" x14ac:dyDescent="0.25">
      <c r="A1998"/>
      <c r="D1998"/>
      <c r="I1998"/>
    </row>
    <row r="1999" spans="1:9" x14ac:dyDescent="0.25">
      <c r="A1999"/>
      <c r="D1999"/>
      <c r="I1999"/>
    </row>
    <row r="2000" spans="1:9" x14ac:dyDescent="0.25">
      <c r="A2000"/>
      <c r="D2000"/>
      <c r="I2000"/>
    </row>
    <row r="2001" spans="1:9" x14ac:dyDescent="0.25">
      <c r="A2001"/>
      <c r="D2001"/>
      <c r="I2001"/>
    </row>
    <row r="2002" spans="1:9" x14ac:dyDescent="0.25">
      <c r="A2002"/>
      <c r="D2002"/>
      <c r="I2002"/>
    </row>
    <row r="2003" spans="1:9" x14ac:dyDescent="0.25">
      <c r="A2003"/>
      <c r="D2003"/>
      <c r="I2003"/>
    </row>
    <row r="2004" spans="1:9" x14ac:dyDescent="0.25">
      <c r="A2004"/>
      <c r="D2004"/>
      <c r="I2004"/>
    </row>
    <row r="2005" spans="1:9" x14ac:dyDescent="0.25">
      <c r="A2005"/>
      <c r="D2005"/>
      <c r="I2005"/>
    </row>
    <row r="2006" spans="1:9" x14ac:dyDescent="0.25">
      <c r="A2006"/>
      <c r="D2006"/>
      <c r="I2006"/>
    </row>
    <row r="2007" spans="1:9" x14ac:dyDescent="0.25">
      <c r="A2007"/>
      <c r="D2007"/>
      <c r="I2007"/>
    </row>
    <row r="2008" spans="1:9" x14ac:dyDescent="0.25">
      <c r="A2008"/>
      <c r="D2008"/>
      <c r="I2008"/>
    </row>
    <row r="2009" spans="1:9" x14ac:dyDescent="0.25">
      <c r="A2009"/>
      <c r="D2009"/>
      <c r="I2009"/>
    </row>
    <row r="2010" spans="1:9" x14ac:dyDescent="0.25">
      <c r="A2010"/>
      <c r="D2010"/>
      <c r="I2010"/>
    </row>
    <row r="2011" spans="1:9" x14ac:dyDescent="0.25">
      <c r="A2011"/>
      <c r="D2011"/>
      <c r="I2011"/>
    </row>
    <row r="2012" spans="1:9" x14ac:dyDescent="0.25">
      <c r="A2012"/>
      <c r="D2012"/>
      <c r="I2012"/>
    </row>
    <row r="2013" spans="1:9" x14ac:dyDescent="0.25">
      <c r="A2013"/>
      <c r="D2013"/>
      <c r="I2013"/>
    </row>
    <row r="2014" spans="1:9" x14ac:dyDescent="0.25">
      <c r="A2014"/>
      <c r="D2014"/>
      <c r="I2014"/>
    </row>
    <row r="2015" spans="1:9" x14ac:dyDescent="0.25">
      <c r="A2015"/>
      <c r="D2015"/>
      <c r="I2015"/>
    </row>
    <row r="2016" spans="1:9" x14ac:dyDescent="0.25">
      <c r="A2016"/>
      <c r="D2016"/>
      <c r="I2016"/>
    </row>
    <row r="2017" spans="1:9" x14ac:dyDescent="0.25">
      <c r="A2017"/>
      <c r="D2017"/>
      <c r="I2017"/>
    </row>
    <row r="2018" spans="1:9" x14ac:dyDescent="0.25">
      <c r="A2018"/>
      <c r="D2018"/>
      <c r="I2018"/>
    </row>
    <row r="2019" spans="1:9" x14ac:dyDescent="0.25">
      <c r="A2019"/>
      <c r="D2019"/>
      <c r="I2019"/>
    </row>
    <row r="2020" spans="1:9" x14ac:dyDescent="0.25">
      <c r="A2020"/>
      <c r="D2020"/>
      <c r="I2020"/>
    </row>
    <row r="2021" spans="1:9" x14ac:dyDescent="0.25">
      <c r="A2021"/>
      <c r="D2021"/>
      <c r="I2021"/>
    </row>
    <row r="2022" spans="1:9" x14ac:dyDescent="0.25">
      <c r="A2022"/>
      <c r="D2022"/>
      <c r="I2022"/>
    </row>
    <row r="2023" spans="1:9" x14ac:dyDescent="0.25">
      <c r="A2023"/>
      <c r="D2023"/>
      <c r="I2023"/>
    </row>
    <row r="2024" spans="1:9" x14ac:dyDescent="0.25">
      <c r="A2024"/>
      <c r="D2024"/>
      <c r="I2024"/>
    </row>
    <row r="2025" spans="1:9" x14ac:dyDescent="0.25">
      <c r="A2025"/>
      <c r="D2025"/>
      <c r="I2025"/>
    </row>
    <row r="2026" spans="1:9" x14ac:dyDescent="0.25">
      <c r="A2026"/>
      <c r="D2026"/>
      <c r="I2026"/>
    </row>
    <row r="2027" spans="1:9" x14ac:dyDescent="0.25">
      <c r="A2027"/>
      <c r="D2027"/>
      <c r="I2027"/>
    </row>
    <row r="2028" spans="1:9" x14ac:dyDescent="0.25">
      <c r="A2028"/>
      <c r="D2028"/>
      <c r="I2028"/>
    </row>
    <row r="2029" spans="1:9" x14ac:dyDescent="0.25">
      <c r="A2029"/>
      <c r="D2029"/>
      <c r="I2029"/>
    </row>
    <row r="2030" spans="1:9" x14ac:dyDescent="0.25">
      <c r="A2030"/>
      <c r="D2030"/>
      <c r="I2030"/>
    </row>
    <row r="2031" spans="1:9" x14ac:dyDescent="0.25">
      <c r="A2031"/>
      <c r="D2031"/>
      <c r="I2031"/>
    </row>
    <row r="2032" spans="1:9" x14ac:dyDescent="0.25">
      <c r="A2032"/>
      <c r="D2032"/>
      <c r="I2032"/>
    </row>
    <row r="2033" spans="1:9" x14ac:dyDescent="0.25">
      <c r="A2033"/>
      <c r="D2033"/>
      <c r="I2033"/>
    </row>
    <row r="2034" spans="1:9" x14ac:dyDescent="0.25">
      <c r="A2034"/>
      <c r="D2034"/>
      <c r="I2034"/>
    </row>
    <row r="2035" spans="1:9" x14ac:dyDescent="0.25">
      <c r="A2035"/>
      <c r="D2035"/>
      <c r="I2035"/>
    </row>
    <row r="2036" spans="1:9" x14ac:dyDescent="0.25">
      <c r="A2036"/>
      <c r="D2036"/>
      <c r="I2036"/>
    </row>
    <row r="2037" spans="1:9" x14ac:dyDescent="0.25">
      <c r="A2037"/>
      <c r="D2037"/>
      <c r="I2037"/>
    </row>
    <row r="2038" spans="1:9" x14ac:dyDescent="0.25">
      <c r="A2038"/>
      <c r="D2038"/>
      <c r="I2038"/>
    </row>
    <row r="2039" spans="1:9" x14ac:dyDescent="0.25">
      <c r="A2039"/>
      <c r="D2039"/>
      <c r="I2039"/>
    </row>
    <row r="2040" spans="1:9" x14ac:dyDescent="0.25">
      <c r="A2040"/>
      <c r="D2040"/>
      <c r="I2040"/>
    </row>
    <row r="2041" spans="1:9" x14ac:dyDescent="0.25">
      <c r="A2041"/>
      <c r="D2041"/>
      <c r="I2041"/>
    </row>
    <row r="2042" spans="1:9" x14ac:dyDescent="0.25">
      <c r="A2042"/>
      <c r="D2042"/>
      <c r="I2042"/>
    </row>
    <row r="2043" spans="1:9" x14ac:dyDescent="0.25">
      <c r="A2043"/>
      <c r="D2043"/>
      <c r="I2043"/>
    </row>
    <row r="2044" spans="1:9" x14ac:dyDescent="0.25">
      <c r="A2044"/>
      <c r="D2044"/>
      <c r="I2044"/>
    </row>
    <row r="2045" spans="1:9" x14ac:dyDescent="0.25">
      <c r="A2045"/>
      <c r="D2045"/>
      <c r="I2045"/>
    </row>
    <row r="2046" spans="1:9" x14ac:dyDescent="0.25">
      <c r="A2046"/>
      <c r="D2046"/>
      <c r="I2046"/>
    </row>
    <row r="2047" spans="1:9" x14ac:dyDescent="0.25">
      <c r="A2047"/>
      <c r="D2047"/>
      <c r="I2047"/>
    </row>
    <row r="2048" spans="1:9" x14ac:dyDescent="0.25">
      <c r="A2048"/>
      <c r="D2048"/>
      <c r="I2048"/>
    </row>
    <row r="2049" spans="1:9" x14ac:dyDescent="0.25">
      <c r="A2049"/>
      <c r="D2049"/>
      <c r="I2049"/>
    </row>
    <row r="2050" spans="1:9" x14ac:dyDescent="0.25">
      <c r="A2050"/>
      <c r="D2050"/>
      <c r="I2050"/>
    </row>
    <row r="2051" spans="1:9" x14ac:dyDescent="0.25">
      <c r="A2051"/>
      <c r="D2051"/>
      <c r="I2051"/>
    </row>
    <row r="2052" spans="1:9" x14ac:dyDescent="0.25">
      <c r="A2052"/>
      <c r="D2052"/>
      <c r="I2052"/>
    </row>
    <row r="2053" spans="1:9" x14ac:dyDescent="0.25">
      <c r="A2053"/>
      <c r="D2053"/>
      <c r="I2053"/>
    </row>
    <row r="2054" spans="1:9" x14ac:dyDescent="0.25">
      <c r="A2054"/>
      <c r="D2054"/>
      <c r="I2054"/>
    </row>
    <row r="2055" spans="1:9" x14ac:dyDescent="0.25">
      <c r="A2055"/>
      <c r="D2055"/>
      <c r="I2055"/>
    </row>
    <row r="2056" spans="1:9" x14ac:dyDescent="0.25">
      <c r="A2056"/>
      <c r="D2056"/>
      <c r="I2056"/>
    </row>
    <row r="2057" spans="1:9" x14ac:dyDescent="0.25">
      <c r="A2057"/>
      <c r="D2057"/>
      <c r="I2057"/>
    </row>
    <row r="2058" spans="1:9" x14ac:dyDescent="0.25">
      <c r="A2058"/>
      <c r="D2058"/>
      <c r="I2058"/>
    </row>
    <row r="2059" spans="1:9" x14ac:dyDescent="0.25">
      <c r="A2059"/>
      <c r="D2059"/>
      <c r="I2059"/>
    </row>
    <row r="2060" spans="1:9" x14ac:dyDescent="0.25">
      <c r="A2060"/>
      <c r="D2060"/>
      <c r="I2060"/>
    </row>
    <row r="2061" spans="1:9" x14ac:dyDescent="0.25">
      <c r="A2061"/>
      <c r="D2061"/>
      <c r="I2061"/>
    </row>
    <row r="2062" spans="1:9" x14ac:dyDescent="0.25">
      <c r="A2062"/>
      <c r="D2062"/>
      <c r="I2062"/>
    </row>
    <row r="2063" spans="1:9" x14ac:dyDescent="0.25">
      <c r="A2063"/>
      <c r="D2063"/>
      <c r="I2063"/>
    </row>
    <row r="2064" spans="1:9" x14ac:dyDescent="0.25">
      <c r="A2064"/>
      <c r="D2064"/>
      <c r="I2064"/>
    </row>
    <row r="2065" spans="1:9" x14ac:dyDescent="0.25">
      <c r="A2065"/>
      <c r="D2065"/>
      <c r="I2065"/>
    </row>
    <row r="2066" spans="1:9" x14ac:dyDescent="0.25">
      <c r="A2066"/>
      <c r="D2066"/>
      <c r="I2066"/>
    </row>
    <row r="2067" spans="1:9" x14ac:dyDescent="0.25">
      <c r="A2067"/>
      <c r="D2067"/>
      <c r="I2067"/>
    </row>
    <row r="2068" spans="1:9" x14ac:dyDescent="0.25">
      <c r="A2068"/>
      <c r="D2068"/>
      <c r="I2068"/>
    </row>
    <row r="2069" spans="1:9" x14ac:dyDescent="0.25">
      <c r="A2069"/>
      <c r="D2069"/>
      <c r="I2069"/>
    </row>
    <row r="2070" spans="1:9" x14ac:dyDescent="0.25">
      <c r="A2070"/>
      <c r="D2070"/>
      <c r="I2070"/>
    </row>
    <row r="2071" spans="1:9" x14ac:dyDescent="0.25">
      <c r="A2071"/>
      <c r="D2071"/>
      <c r="I2071"/>
    </row>
    <row r="2072" spans="1:9" x14ac:dyDescent="0.25">
      <c r="A2072"/>
      <c r="D2072"/>
      <c r="I2072"/>
    </row>
    <row r="2073" spans="1:9" x14ac:dyDescent="0.25">
      <c r="A2073"/>
      <c r="D2073"/>
      <c r="I2073"/>
    </row>
    <row r="2074" spans="1:9" x14ac:dyDescent="0.25">
      <c r="A2074"/>
      <c r="D2074"/>
      <c r="I2074"/>
    </row>
    <row r="2075" spans="1:9" x14ac:dyDescent="0.25">
      <c r="A2075"/>
      <c r="D2075"/>
      <c r="I2075"/>
    </row>
    <row r="2076" spans="1:9" x14ac:dyDescent="0.25">
      <c r="A2076"/>
      <c r="D2076"/>
      <c r="I2076"/>
    </row>
    <row r="2077" spans="1:9" x14ac:dyDescent="0.25">
      <c r="A2077"/>
      <c r="D2077"/>
      <c r="I2077"/>
    </row>
    <row r="2078" spans="1:9" x14ac:dyDescent="0.25">
      <c r="A2078"/>
      <c r="D2078"/>
      <c r="I2078"/>
    </row>
    <row r="2079" spans="1:9" x14ac:dyDescent="0.25">
      <c r="A2079"/>
      <c r="D2079"/>
      <c r="I2079"/>
    </row>
    <row r="2080" spans="1:9" x14ac:dyDescent="0.25">
      <c r="A2080"/>
      <c r="D2080"/>
      <c r="I2080"/>
    </row>
    <row r="2081" spans="1:9" x14ac:dyDescent="0.25">
      <c r="A2081"/>
      <c r="D2081"/>
      <c r="I2081"/>
    </row>
    <row r="2082" spans="1:9" x14ac:dyDescent="0.25">
      <c r="A2082"/>
      <c r="D2082"/>
      <c r="I2082"/>
    </row>
    <row r="2083" spans="1:9" x14ac:dyDescent="0.25">
      <c r="A2083"/>
      <c r="D2083"/>
      <c r="I2083"/>
    </row>
    <row r="2084" spans="1:9" x14ac:dyDescent="0.25">
      <c r="A2084"/>
      <c r="D2084"/>
      <c r="I2084"/>
    </row>
    <row r="2085" spans="1:9" x14ac:dyDescent="0.25">
      <c r="A2085"/>
      <c r="D2085"/>
      <c r="I2085"/>
    </row>
    <row r="2086" spans="1:9" x14ac:dyDescent="0.25">
      <c r="A2086"/>
      <c r="D2086"/>
      <c r="I2086"/>
    </row>
    <row r="2087" spans="1:9" x14ac:dyDescent="0.25">
      <c r="A2087"/>
      <c r="D2087"/>
      <c r="I2087"/>
    </row>
    <row r="2088" spans="1:9" x14ac:dyDescent="0.25">
      <c r="A2088"/>
      <c r="D2088"/>
      <c r="I2088"/>
    </row>
    <row r="2089" spans="1:9" x14ac:dyDescent="0.25">
      <c r="A2089"/>
      <c r="D2089"/>
      <c r="I2089"/>
    </row>
    <row r="2090" spans="1:9" x14ac:dyDescent="0.25">
      <c r="A2090"/>
      <c r="D2090"/>
      <c r="I2090"/>
    </row>
    <row r="2091" spans="1:9" x14ac:dyDescent="0.25">
      <c r="A2091"/>
      <c r="D2091"/>
      <c r="I2091"/>
    </row>
    <row r="2092" spans="1:9" x14ac:dyDescent="0.25">
      <c r="A2092"/>
      <c r="D2092"/>
      <c r="I2092"/>
    </row>
    <row r="2093" spans="1:9" x14ac:dyDescent="0.25">
      <c r="A2093"/>
      <c r="D2093"/>
      <c r="I2093"/>
    </row>
    <row r="2094" spans="1:9" x14ac:dyDescent="0.25">
      <c r="A2094"/>
      <c r="D2094"/>
      <c r="I2094"/>
    </row>
    <row r="2095" spans="1:9" x14ac:dyDescent="0.25">
      <c r="A2095"/>
      <c r="D2095"/>
      <c r="I2095"/>
    </row>
    <row r="2096" spans="1:9" x14ac:dyDescent="0.25">
      <c r="A2096"/>
      <c r="D2096"/>
      <c r="I2096"/>
    </row>
    <row r="2097" spans="1:9" x14ac:dyDescent="0.25">
      <c r="A2097"/>
      <c r="D2097"/>
      <c r="I2097"/>
    </row>
    <row r="2098" spans="1:9" x14ac:dyDescent="0.25">
      <c r="A2098"/>
      <c r="D2098"/>
      <c r="I2098"/>
    </row>
    <row r="2099" spans="1:9" x14ac:dyDescent="0.25">
      <c r="A2099"/>
      <c r="D2099"/>
      <c r="I2099"/>
    </row>
    <row r="2100" spans="1:9" x14ac:dyDescent="0.25">
      <c r="A2100"/>
      <c r="D2100"/>
      <c r="I2100"/>
    </row>
    <row r="2101" spans="1:9" x14ac:dyDescent="0.25">
      <c r="A2101"/>
      <c r="D2101"/>
      <c r="I2101"/>
    </row>
    <row r="2102" spans="1:9" x14ac:dyDescent="0.25">
      <c r="A2102"/>
      <c r="D2102"/>
      <c r="I2102"/>
    </row>
    <row r="2103" spans="1:9" x14ac:dyDescent="0.25">
      <c r="A2103"/>
      <c r="D2103"/>
      <c r="I2103"/>
    </row>
    <row r="2104" spans="1:9" x14ac:dyDescent="0.25">
      <c r="A2104"/>
      <c r="D2104"/>
      <c r="I2104"/>
    </row>
    <row r="2105" spans="1:9" x14ac:dyDescent="0.25">
      <c r="A2105"/>
      <c r="D2105"/>
      <c r="I2105"/>
    </row>
    <row r="2106" spans="1:9" x14ac:dyDescent="0.25">
      <c r="A2106"/>
      <c r="D2106"/>
      <c r="I2106"/>
    </row>
    <row r="2107" spans="1:9" x14ac:dyDescent="0.25">
      <c r="A2107"/>
      <c r="D2107"/>
      <c r="I2107"/>
    </row>
    <row r="2108" spans="1:9" x14ac:dyDescent="0.25">
      <c r="A2108"/>
      <c r="D2108"/>
      <c r="I2108"/>
    </row>
    <row r="2109" spans="1:9" x14ac:dyDescent="0.25">
      <c r="A2109"/>
      <c r="D2109"/>
      <c r="I2109"/>
    </row>
    <row r="2110" spans="1:9" x14ac:dyDescent="0.25">
      <c r="A2110"/>
      <c r="D2110"/>
      <c r="I2110"/>
    </row>
    <row r="2111" spans="1:9" x14ac:dyDescent="0.25">
      <c r="A2111"/>
      <c r="D2111"/>
      <c r="I2111"/>
    </row>
    <row r="2112" spans="1:9" x14ac:dyDescent="0.25">
      <c r="A2112"/>
      <c r="D2112"/>
      <c r="I2112"/>
    </row>
    <row r="2113" spans="1:9" x14ac:dyDescent="0.25">
      <c r="A2113"/>
      <c r="D2113"/>
      <c r="I2113"/>
    </row>
    <row r="2114" spans="1:9" x14ac:dyDescent="0.25">
      <c r="A2114"/>
      <c r="D2114"/>
      <c r="I2114"/>
    </row>
    <row r="2115" spans="1:9" x14ac:dyDescent="0.25">
      <c r="A2115"/>
      <c r="D2115"/>
      <c r="I2115"/>
    </row>
    <row r="2116" spans="1:9" x14ac:dyDescent="0.25">
      <c r="A2116"/>
      <c r="D2116"/>
      <c r="I2116"/>
    </row>
    <row r="2117" spans="1:9" x14ac:dyDescent="0.25">
      <c r="A2117"/>
      <c r="D2117"/>
      <c r="I2117"/>
    </row>
    <row r="2118" spans="1:9" x14ac:dyDescent="0.25">
      <c r="A2118"/>
      <c r="D2118"/>
      <c r="I2118"/>
    </row>
    <row r="2119" spans="1:9" x14ac:dyDescent="0.25">
      <c r="A2119"/>
      <c r="D2119"/>
      <c r="I2119"/>
    </row>
    <row r="2120" spans="1:9" x14ac:dyDescent="0.25">
      <c r="A2120"/>
      <c r="D2120"/>
      <c r="I2120"/>
    </row>
    <row r="2121" spans="1:9" x14ac:dyDescent="0.25">
      <c r="A2121"/>
      <c r="D2121"/>
      <c r="I2121"/>
    </row>
    <row r="2122" spans="1:9" x14ac:dyDescent="0.25">
      <c r="A2122"/>
      <c r="D2122"/>
      <c r="I2122"/>
    </row>
    <row r="2123" spans="1:9" x14ac:dyDescent="0.25">
      <c r="A2123"/>
      <c r="D2123"/>
      <c r="I2123"/>
    </row>
    <row r="2124" spans="1:9" x14ac:dyDescent="0.25">
      <c r="A2124"/>
      <c r="D2124"/>
      <c r="I2124"/>
    </row>
    <row r="2125" spans="1:9" x14ac:dyDescent="0.25">
      <c r="A2125"/>
      <c r="D2125"/>
      <c r="I2125"/>
    </row>
    <row r="2126" spans="1:9" x14ac:dyDescent="0.25">
      <c r="A2126"/>
      <c r="D2126"/>
      <c r="I2126"/>
    </row>
    <row r="2127" spans="1:9" x14ac:dyDescent="0.25">
      <c r="A2127"/>
      <c r="D2127"/>
      <c r="I2127"/>
    </row>
    <row r="2128" spans="1:9" x14ac:dyDescent="0.25">
      <c r="A2128"/>
      <c r="D2128"/>
      <c r="I2128"/>
    </row>
    <row r="2129" spans="1:9" x14ac:dyDescent="0.25">
      <c r="A2129"/>
      <c r="D2129"/>
      <c r="I2129"/>
    </row>
    <row r="2130" spans="1:9" x14ac:dyDescent="0.25">
      <c r="A2130"/>
      <c r="D2130"/>
      <c r="I2130"/>
    </row>
    <row r="2131" spans="1:9" x14ac:dyDescent="0.25">
      <c r="A2131"/>
      <c r="D2131"/>
      <c r="I2131"/>
    </row>
    <row r="2132" spans="1:9" x14ac:dyDescent="0.25">
      <c r="A2132"/>
      <c r="D2132"/>
      <c r="I2132"/>
    </row>
    <row r="2133" spans="1:9" x14ac:dyDescent="0.25">
      <c r="A2133"/>
      <c r="D2133"/>
      <c r="I2133"/>
    </row>
    <row r="2134" spans="1:9" x14ac:dyDescent="0.25">
      <c r="A2134"/>
      <c r="D2134"/>
      <c r="I2134"/>
    </row>
    <row r="2135" spans="1:9" x14ac:dyDescent="0.25">
      <c r="A2135"/>
      <c r="D2135"/>
      <c r="I2135"/>
    </row>
    <row r="2136" spans="1:9" x14ac:dyDescent="0.25">
      <c r="A2136"/>
      <c r="D2136"/>
      <c r="I2136"/>
    </row>
    <row r="2137" spans="1:9" x14ac:dyDescent="0.25">
      <c r="A2137"/>
      <c r="D2137"/>
      <c r="I2137"/>
    </row>
    <row r="2138" spans="1:9" x14ac:dyDescent="0.25">
      <c r="A2138"/>
      <c r="D2138"/>
      <c r="I2138"/>
    </row>
    <row r="2139" spans="1:9" x14ac:dyDescent="0.25">
      <c r="A2139"/>
      <c r="D2139"/>
      <c r="I2139"/>
    </row>
    <row r="2140" spans="1:9" x14ac:dyDescent="0.25">
      <c r="A2140"/>
      <c r="D2140"/>
      <c r="I2140"/>
    </row>
    <row r="2141" spans="1:9" x14ac:dyDescent="0.25">
      <c r="A2141"/>
      <c r="D2141"/>
      <c r="I2141"/>
    </row>
    <row r="2142" spans="1:9" x14ac:dyDescent="0.25">
      <c r="A2142"/>
      <c r="D2142"/>
      <c r="I2142"/>
    </row>
    <row r="2143" spans="1:9" x14ac:dyDescent="0.25">
      <c r="A2143"/>
      <c r="D2143"/>
      <c r="I2143"/>
    </row>
    <row r="2144" spans="1:9" x14ac:dyDescent="0.25">
      <c r="A2144"/>
      <c r="D2144"/>
      <c r="I2144"/>
    </row>
    <row r="2145" spans="1:9" x14ac:dyDescent="0.25">
      <c r="A2145"/>
      <c r="D2145"/>
      <c r="I2145"/>
    </row>
    <row r="2146" spans="1:9" x14ac:dyDescent="0.25">
      <c r="A2146"/>
      <c r="D2146"/>
      <c r="I2146"/>
    </row>
    <row r="2147" spans="1:9" x14ac:dyDescent="0.25">
      <c r="A2147"/>
      <c r="D2147"/>
      <c r="I2147"/>
    </row>
    <row r="2148" spans="1:9" x14ac:dyDescent="0.25">
      <c r="A2148"/>
      <c r="D2148"/>
      <c r="I2148"/>
    </row>
    <row r="2149" spans="1:9" x14ac:dyDescent="0.25">
      <c r="A2149"/>
      <c r="D2149"/>
      <c r="I2149"/>
    </row>
    <row r="2150" spans="1:9" x14ac:dyDescent="0.25">
      <c r="A2150"/>
      <c r="D2150"/>
      <c r="I2150"/>
    </row>
    <row r="2151" spans="1:9" x14ac:dyDescent="0.25">
      <c r="A2151"/>
      <c r="D2151"/>
      <c r="I2151"/>
    </row>
    <row r="2152" spans="1:9" x14ac:dyDescent="0.25">
      <c r="A2152"/>
      <c r="D2152"/>
      <c r="I2152"/>
    </row>
    <row r="2153" spans="1:9" x14ac:dyDescent="0.25">
      <c r="A2153"/>
      <c r="D2153"/>
      <c r="I2153"/>
    </row>
    <row r="2154" spans="1:9" x14ac:dyDescent="0.25">
      <c r="A2154"/>
      <c r="D2154"/>
      <c r="I2154"/>
    </row>
    <row r="2155" spans="1:9" x14ac:dyDescent="0.25">
      <c r="A2155"/>
      <c r="D2155"/>
      <c r="I2155"/>
    </row>
    <row r="2156" spans="1:9" x14ac:dyDescent="0.25">
      <c r="A2156"/>
      <c r="D2156"/>
      <c r="I2156"/>
    </row>
    <row r="2157" spans="1:9" x14ac:dyDescent="0.25">
      <c r="A2157"/>
      <c r="D2157"/>
      <c r="I2157"/>
    </row>
    <row r="2158" spans="1:9" x14ac:dyDescent="0.25">
      <c r="A2158"/>
      <c r="D2158"/>
      <c r="I2158"/>
    </row>
    <row r="2159" spans="1:9" x14ac:dyDescent="0.25">
      <c r="A2159"/>
      <c r="D2159"/>
      <c r="I2159"/>
    </row>
    <row r="2160" spans="1:9" x14ac:dyDescent="0.25">
      <c r="A2160"/>
      <c r="D2160"/>
      <c r="I2160"/>
    </row>
    <row r="2161" spans="1:9" x14ac:dyDescent="0.25">
      <c r="A2161"/>
      <c r="D2161"/>
      <c r="I2161"/>
    </row>
    <row r="2162" spans="1:9" x14ac:dyDescent="0.25">
      <c r="A2162"/>
      <c r="D2162"/>
      <c r="I2162"/>
    </row>
    <row r="2163" spans="1:9" x14ac:dyDescent="0.25">
      <c r="A2163"/>
      <c r="D2163"/>
      <c r="I2163"/>
    </row>
    <row r="2164" spans="1:9" x14ac:dyDescent="0.25">
      <c r="A2164"/>
      <c r="D2164"/>
      <c r="I2164"/>
    </row>
    <row r="2165" spans="1:9" x14ac:dyDescent="0.25">
      <c r="A2165"/>
      <c r="D2165"/>
      <c r="I2165"/>
    </row>
    <row r="2166" spans="1:9" x14ac:dyDescent="0.25">
      <c r="A2166"/>
      <c r="D2166"/>
      <c r="I2166"/>
    </row>
    <row r="2167" spans="1:9" x14ac:dyDescent="0.25">
      <c r="A2167"/>
      <c r="D2167"/>
      <c r="I2167"/>
    </row>
    <row r="2168" spans="1:9" x14ac:dyDescent="0.25">
      <c r="A2168"/>
      <c r="D2168"/>
      <c r="I2168"/>
    </row>
    <row r="2169" spans="1:9" x14ac:dyDescent="0.25">
      <c r="A2169"/>
      <c r="D2169"/>
      <c r="I2169"/>
    </row>
    <row r="2170" spans="1:9" x14ac:dyDescent="0.25">
      <c r="A2170"/>
      <c r="D2170"/>
      <c r="I2170"/>
    </row>
    <row r="2171" spans="1:9" x14ac:dyDescent="0.25">
      <c r="A2171"/>
      <c r="D2171"/>
      <c r="I2171"/>
    </row>
    <row r="2172" spans="1:9" x14ac:dyDescent="0.25">
      <c r="A2172"/>
      <c r="D2172"/>
      <c r="I2172"/>
    </row>
    <row r="2173" spans="1:9" x14ac:dyDescent="0.25">
      <c r="A2173"/>
      <c r="D2173"/>
      <c r="I2173"/>
    </row>
    <row r="2174" spans="1:9" x14ac:dyDescent="0.25">
      <c r="A2174"/>
      <c r="D2174"/>
      <c r="I2174"/>
    </row>
    <row r="2175" spans="1:9" x14ac:dyDescent="0.25">
      <c r="A2175"/>
      <c r="D2175"/>
      <c r="I2175"/>
    </row>
    <row r="2176" spans="1:9" x14ac:dyDescent="0.25">
      <c r="A2176"/>
      <c r="D2176"/>
      <c r="I2176"/>
    </row>
    <row r="2177" spans="1:9" x14ac:dyDescent="0.25">
      <c r="A2177"/>
      <c r="D2177"/>
      <c r="I2177"/>
    </row>
    <row r="2178" spans="1:9" x14ac:dyDescent="0.25">
      <c r="A2178"/>
      <c r="D2178"/>
      <c r="I2178"/>
    </row>
    <row r="2179" spans="1:9" x14ac:dyDescent="0.25">
      <c r="A2179"/>
      <c r="D2179"/>
      <c r="I2179"/>
    </row>
    <row r="2180" spans="1:9" x14ac:dyDescent="0.25">
      <c r="A2180"/>
      <c r="D2180"/>
      <c r="I2180"/>
    </row>
    <row r="2181" spans="1:9" x14ac:dyDescent="0.25">
      <c r="A2181"/>
      <c r="D2181"/>
      <c r="I2181"/>
    </row>
    <row r="2182" spans="1:9" x14ac:dyDescent="0.25">
      <c r="A2182"/>
      <c r="D2182"/>
      <c r="I2182"/>
    </row>
    <row r="2183" spans="1:9" x14ac:dyDescent="0.25">
      <c r="A2183"/>
      <c r="D2183"/>
      <c r="I2183"/>
    </row>
    <row r="2184" spans="1:9" x14ac:dyDescent="0.25">
      <c r="A2184"/>
      <c r="D2184"/>
      <c r="I2184"/>
    </row>
    <row r="2185" spans="1:9" x14ac:dyDescent="0.25">
      <c r="A2185"/>
      <c r="D2185"/>
      <c r="I2185"/>
    </row>
    <row r="2186" spans="1:9" x14ac:dyDescent="0.25">
      <c r="A2186"/>
      <c r="D2186"/>
      <c r="I2186"/>
    </row>
    <row r="2187" spans="1:9" x14ac:dyDescent="0.25">
      <c r="A2187"/>
      <c r="D2187"/>
      <c r="I2187"/>
    </row>
    <row r="2188" spans="1:9" x14ac:dyDescent="0.25">
      <c r="A2188"/>
      <c r="D2188"/>
      <c r="I2188"/>
    </row>
    <row r="2189" spans="1:9" x14ac:dyDescent="0.25">
      <c r="A2189"/>
      <c r="D2189"/>
      <c r="I2189"/>
    </row>
    <row r="2190" spans="1:9" x14ac:dyDescent="0.25">
      <c r="A2190"/>
      <c r="D2190"/>
      <c r="I2190"/>
    </row>
    <row r="2191" spans="1:9" x14ac:dyDescent="0.25">
      <c r="A2191"/>
      <c r="D2191"/>
      <c r="I2191"/>
    </row>
    <row r="2192" spans="1:9" x14ac:dyDescent="0.25">
      <c r="A2192"/>
      <c r="D2192"/>
      <c r="I2192"/>
    </row>
    <row r="2193" spans="1:9" x14ac:dyDescent="0.25">
      <c r="A2193"/>
      <c r="D2193"/>
      <c r="I2193"/>
    </row>
    <row r="2194" spans="1:9" x14ac:dyDescent="0.25">
      <c r="A2194"/>
      <c r="D2194"/>
      <c r="I2194"/>
    </row>
    <row r="2195" spans="1:9" x14ac:dyDescent="0.25">
      <c r="A2195"/>
      <c r="D2195"/>
      <c r="I2195"/>
    </row>
    <row r="2196" spans="1:9" x14ac:dyDescent="0.25">
      <c r="A2196"/>
      <c r="D2196"/>
      <c r="I2196"/>
    </row>
    <row r="2197" spans="1:9" x14ac:dyDescent="0.25">
      <c r="A2197"/>
      <c r="D2197"/>
      <c r="I2197"/>
    </row>
    <row r="2198" spans="1:9" x14ac:dyDescent="0.25">
      <c r="A2198"/>
      <c r="D2198"/>
      <c r="I2198"/>
    </row>
    <row r="2199" spans="1:9" x14ac:dyDescent="0.25">
      <c r="A2199"/>
      <c r="D2199"/>
      <c r="I2199"/>
    </row>
    <row r="2200" spans="1:9" x14ac:dyDescent="0.25">
      <c r="A2200"/>
      <c r="D2200"/>
      <c r="I2200"/>
    </row>
    <row r="2201" spans="1:9" x14ac:dyDescent="0.25">
      <c r="A2201"/>
      <c r="D2201"/>
      <c r="I2201"/>
    </row>
    <row r="2202" spans="1:9" x14ac:dyDescent="0.25">
      <c r="A2202"/>
      <c r="D2202"/>
      <c r="I2202"/>
    </row>
    <row r="2203" spans="1:9" x14ac:dyDescent="0.25">
      <c r="A2203"/>
      <c r="D2203"/>
      <c r="I2203"/>
    </row>
    <row r="2204" spans="1:9" x14ac:dyDescent="0.25">
      <c r="A2204"/>
      <c r="D2204"/>
      <c r="I2204"/>
    </row>
    <row r="2205" spans="1:9" x14ac:dyDescent="0.25">
      <c r="A2205"/>
      <c r="D2205"/>
      <c r="I2205"/>
    </row>
    <row r="2206" spans="1:9" x14ac:dyDescent="0.25">
      <c r="A2206"/>
      <c r="D2206"/>
      <c r="I2206"/>
    </row>
    <row r="2207" spans="1:9" x14ac:dyDescent="0.25">
      <c r="A2207"/>
      <c r="D2207"/>
      <c r="I2207"/>
    </row>
    <row r="2208" spans="1:9" x14ac:dyDescent="0.25">
      <c r="A2208"/>
      <c r="D2208"/>
      <c r="I2208"/>
    </row>
    <row r="2209" spans="1:9" x14ac:dyDescent="0.25">
      <c r="A2209"/>
      <c r="D2209"/>
      <c r="I2209"/>
    </row>
    <row r="2210" spans="1:9" x14ac:dyDescent="0.25">
      <c r="A2210"/>
      <c r="D2210"/>
      <c r="I2210"/>
    </row>
    <row r="2211" spans="1:9" x14ac:dyDescent="0.25">
      <c r="A2211"/>
      <c r="D2211"/>
      <c r="I2211"/>
    </row>
    <row r="2212" spans="1:9" x14ac:dyDescent="0.25">
      <c r="A2212"/>
      <c r="D2212"/>
      <c r="I2212"/>
    </row>
    <row r="2213" spans="1:9" x14ac:dyDescent="0.25">
      <c r="A2213"/>
      <c r="D2213"/>
      <c r="I2213"/>
    </row>
    <row r="2214" spans="1:9" x14ac:dyDescent="0.25">
      <c r="A2214"/>
      <c r="D2214"/>
      <c r="I2214"/>
    </row>
    <row r="2215" spans="1:9" x14ac:dyDescent="0.25">
      <c r="A2215"/>
      <c r="D2215"/>
      <c r="I2215"/>
    </row>
    <row r="2216" spans="1:9" x14ac:dyDescent="0.25">
      <c r="A2216"/>
      <c r="D2216"/>
      <c r="I2216"/>
    </row>
    <row r="2217" spans="1:9" x14ac:dyDescent="0.25">
      <c r="A2217"/>
      <c r="D2217"/>
      <c r="I2217"/>
    </row>
    <row r="2218" spans="1:9" x14ac:dyDescent="0.25">
      <c r="A2218"/>
      <c r="D2218"/>
      <c r="I2218"/>
    </row>
    <row r="2219" spans="1:9" x14ac:dyDescent="0.25">
      <c r="A2219"/>
      <c r="D2219"/>
      <c r="I2219"/>
    </row>
    <row r="2220" spans="1:9" x14ac:dyDescent="0.25">
      <c r="A2220"/>
      <c r="D2220"/>
      <c r="I2220"/>
    </row>
    <row r="2221" spans="1:9" x14ac:dyDescent="0.25">
      <c r="A2221"/>
      <c r="D2221"/>
      <c r="I2221"/>
    </row>
    <row r="2222" spans="1:9" x14ac:dyDescent="0.25">
      <c r="A2222"/>
      <c r="D2222"/>
      <c r="I2222"/>
    </row>
    <row r="2223" spans="1:9" x14ac:dyDescent="0.25">
      <c r="A2223"/>
      <c r="D2223"/>
      <c r="I2223"/>
    </row>
    <row r="2224" spans="1:9" x14ac:dyDescent="0.25">
      <c r="A2224"/>
      <c r="D2224"/>
      <c r="I2224"/>
    </row>
    <row r="2225" spans="1:9" x14ac:dyDescent="0.25">
      <c r="A2225"/>
      <c r="D2225"/>
      <c r="I2225"/>
    </row>
    <row r="2226" spans="1:9" x14ac:dyDescent="0.25">
      <c r="A2226"/>
      <c r="D2226"/>
      <c r="I2226"/>
    </row>
    <row r="2227" spans="1:9" x14ac:dyDescent="0.25">
      <c r="A2227"/>
      <c r="D2227"/>
      <c r="I2227"/>
    </row>
    <row r="2228" spans="1:9" x14ac:dyDescent="0.25">
      <c r="A2228"/>
      <c r="D2228"/>
      <c r="I2228"/>
    </row>
    <row r="2229" spans="1:9" x14ac:dyDescent="0.25">
      <c r="A2229"/>
      <c r="D2229"/>
      <c r="I2229"/>
    </row>
    <row r="2230" spans="1:9" x14ac:dyDescent="0.25">
      <c r="A2230"/>
      <c r="D2230"/>
      <c r="I2230"/>
    </row>
    <row r="2231" spans="1:9" x14ac:dyDescent="0.25">
      <c r="A2231"/>
      <c r="D2231"/>
      <c r="I2231"/>
    </row>
    <row r="2232" spans="1:9" x14ac:dyDescent="0.25">
      <c r="A2232"/>
      <c r="D2232"/>
      <c r="I2232"/>
    </row>
    <row r="2233" spans="1:9" x14ac:dyDescent="0.25">
      <c r="A2233"/>
      <c r="D2233"/>
      <c r="I2233"/>
    </row>
    <row r="2234" spans="1:9" x14ac:dyDescent="0.25">
      <c r="A2234"/>
      <c r="D2234"/>
      <c r="I2234"/>
    </row>
    <row r="2235" spans="1:9" x14ac:dyDescent="0.25">
      <c r="A2235"/>
      <c r="D2235"/>
      <c r="I2235"/>
    </row>
    <row r="2236" spans="1:9" x14ac:dyDescent="0.25">
      <c r="A2236"/>
      <c r="D2236"/>
      <c r="I2236"/>
    </row>
    <row r="2237" spans="1:9" x14ac:dyDescent="0.25">
      <c r="A2237"/>
      <c r="D2237"/>
      <c r="I2237"/>
    </row>
    <row r="2238" spans="1:9" x14ac:dyDescent="0.25">
      <c r="A2238"/>
      <c r="D2238"/>
      <c r="I2238"/>
    </row>
    <row r="2239" spans="1:9" x14ac:dyDescent="0.25">
      <c r="A2239"/>
      <c r="D2239"/>
      <c r="I2239"/>
    </row>
    <row r="2240" spans="1:9" x14ac:dyDescent="0.25">
      <c r="A2240"/>
      <c r="D2240"/>
      <c r="I2240"/>
    </row>
    <row r="2241" spans="1:9" x14ac:dyDescent="0.25">
      <c r="A2241"/>
      <c r="D2241"/>
      <c r="I2241"/>
    </row>
    <row r="2242" spans="1:9" x14ac:dyDescent="0.25">
      <c r="A2242"/>
      <c r="D2242"/>
      <c r="I2242"/>
    </row>
    <row r="2243" spans="1:9" x14ac:dyDescent="0.25">
      <c r="A2243"/>
      <c r="D2243"/>
      <c r="I2243"/>
    </row>
    <row r="2244" spans="1:9" x14ac:dyDescent="0.25">
      <c r="A2244"/>
      <c r="D2244"/>
      <c r="I2244"/>
    </row>
    <row r="2245" spans="1:9" x14ac:dyDescent="0.25">
      <c r="A2245"/>
      <c r="D2245"/>
      <c r="I2245"/>
    </row>
    <row r="2246" spans="1:9" x14ac:dyDescent="0.25">
      <c r="A2246"/>
      <c r="D2246"/>
      <c r="I2246"/>
    </row>
    <row r="2247" spans="1:9" x14ac:dyDescent="0.25">
      <c r="A2247"/>
      <c r="D2247"/>
      <c r="I2247"/>
    </row>
    <row r="2248" spans="1:9" x14ac:dyDescent="0.25">
      <c r="A2248"/>
      <c r="D2248"/>
      <c r="I2248"/>
    </row>
    <row r="2249" spans="1:9" x14ac:dyDescent="0.25">
      <c r="A2249"/>
      <c r="D2249"/>
      <c r="I2249"/>
    </row>
    <row r="2250" spans="1:9" x14ac:dyDescent="0.25">
      <c r="A2250"/>
      <c r="D2250"/>
      <c r="I2250"/>
    </row>
    <row r="2251" spans="1:9" x14ac:dyDescent="0.25">
      <c r="A2251"/>
      <c r="D2251"/>
      <c r="I2251"/>
    </row>
    <row r="2252" spans="1:9" x14ac:dyDescent="0.25">
      <c r="A2252"/>
      <c r="D2252"/>
      <c r="I2252"/>
    </row>
    <row r="2253" spans="1:9" x14ac:dyDescent="0.25">
      <c r="A2253"/>
      <c r="D2253"/>
      <c r="I2253"/>
    </row>
    <row r="2254" spans="1:9" x14ac:dyDescent="0.25">
      <c r="A2254"/>
      <c r="D2254"/>
      <c r="I2254"/>
    </row>
    <row r="2255" spans="1:9" x14ac:dyDescent="0.25">
      <c r="A2255"/>
      <c r="D2255"/>
      <c r="I2255"/>
    </row>
    <row r="2256" spans="1:9" x14ac:dyDescent="0.25">
      <c r="A2256"/>
      <c r="D2256"/>
      <c r="I2256"/>
    </row>
    <row r="2257" spans="1:9" x14ac:dyDescent="0.25">
      <c r="A2257"/>
      <c r="D2257"/>
      <c r="I2257"/>
    </row>
    <row r="2258" spans="1:9" x14ac:dyDescent="0.25">
      <c r="A2258"/>
      <c r="D2258"/>
      <c r="I2258"/>
    </row>
    <row r="2259" spans="1:9" x14ac:dyDescent="0.25">
      <c r="A2259"/>
      <c r="D2259"/>
      <c r="I2259"/>
    </row>
    <row r="2260" spans="1:9" x14ac:dyDescent="0.25">
      <c r="A2260"/>
      <c r="D2260"/>
      <c r="I2260"/>
    </row>
    <row r="2261" spans="1:9" x14ac:dyDescent="0.25">
      <c r="A2261"/>
      <c r="D2261"/>
      <c r="I2261"/>
    </row>
    <row r="2262" spans="1:9" x14ac:dyDescent="0.25">
      <c r="A2262"/>
      <c r="D2262"/>
      <c r="I2262"/>
    </row>
    <row r="2263" spans="1:9" x14ac:dyDescent="0.25">
      <c r="A2263"/>
      <c r="D2263"/>
      <c r="I2263"/>
    </row>
    <row r="2264" spans="1:9" x14ac:dyDescent="0.25">
      <c r="A2264"/>
      <c r="D2264"/>
      <c r="I2264"/>
    </row>
    <row r="2265" spans="1:9" x14ac:dyDescent="0.25">
      <c r="A2265"/>
      <c r="D2265"/>
      <c r="I2265"/>
    </row>
    <row r="2266" spans="1:9" x14ac:dyDescent="0.25">
      <c r="A2266"/>
      <c r="D2266"/>
      <c r="I2266"/>
    </row>
    <row r="2267" spans="1:9" x14ac:dyDescent="0.25">
      <c r="A2267"/>
      <c r="D2267"/>
      <c r="I2267"/>
    </row>
    <row r="2268" spans="1:9" x14ac:dyDescent="0.25">
      <c r="A2268"/>
      <c r="D2268"/>
      <c r="I2268"/>
    </row>
    <row r="2269" spans="1:9" x14ac:dyDescent="0.25">
      <c r="A2269"/>
      <c r="D2269"/>
      <c r="I2269"/>
    </row>
    <row r="2270" spans="1:9" x14ac:dyDescent="0.25">
      <c r="A2270"/>
      <c r="D2270"/>
      <c r="I2270"/>
    </row>
    <row r="2271" spans="1:9" x14ac:dyDescent="0.25">
      <c r="A2271"/>
      <c r="D2271"/>
      <c r="I2271"/>
    </row>
    <row r="2272" spans="1:9" x14ac:dyDescent="0.25">
      <c r="A2272"/>
      <c r="D2272"/>
      <c r="I2272"/>
    </row>
    <row r="2273" spans="1:9" x14ac:dyDescent="0.25">
      <c r="A2273"/>
      <c r="D2273"/>
      <c r="I2273"/>
    </row>
    <row r="2274" spans="1:9" x14ac:dyDescent="0.25">
      <c r="A2274"/>
      <c r="D2274"/>
      <c r="I2274"/>
    </row>
    <row r="2275" spans="1:9" x14ac:dyDescent="0.25">
      <c r="A2275"/>
      <c r="D2275"/>
      <c r="I2275"/>
    </row>
    <row r="2276" spans="1:9" x14ac:dyDescent="0.25">
      <c r="A2276"/>
      <c r="D2276"/>
      <c r="I2276"/>
    </row>
    <row r="2277" spans="1:9" x14ac:dyDescent="0.25">
      <c r="A2277"/>
      <c r="D2277"/>
      <c r="I2277"/>
    </row>
    <row r="2278" spans="1:9" x14ac:dyDescent="0.25">
      <c r="A2278"/>
      <c r="D2278"/>
      <c r="I2278"/>
    </row>
    <row r="2279" spans="1:9" x14ac:dyDescent="0.25">
      <c r="A2279"/>
      <c r="D2279"/>
      <c r="I2279"/>
    </row>
    <row r="2280" spans="1:9" x14ac:dyDescent="0.25">
      <c r="A2280"/>
      <c r="D2280"/>
      <c r="I2280"/>
    </row>
    <row r="2281" spans="1:9" x14ac:dyDescent="0.25">
      <c r="A2281"/>
      <c r="D2281"/>
      <c r="I2281"/>
    </row>
    <row r="2282" spans="1:9" x14ac:dyDescent="0.25">
      <c r="A2282"/>
      <c r="D2282"/>
      <c r="I2282"/>
    </row>
    <row r="2283" spans="1:9" x14ac:dyDescent="0.25">
      <c r="A2283"/>
      <c r="D2283"/>
      <c r="I2283"/>
    </row>
    <row r="2284" spans="1:9" x14ac:dyDescent="0.25">
      <c r="A2284"/>
      <c r="D2284"/>
      <c r="I2284"/>
    </row>
    <row r="2285" spans="1:9" x14ac:dyDescent="0.25">
      <c r="A2285"/>
      <c r="D2285"/>
      <c r="I2285"/>
    </row>
    <row r="2286" spans="1:9" x14ac:dyDescent="0.25">
      <c r="A2286"/>
      <c r="D2286"/>
      <c r="I2286"/>
    </row>
    <row r="2287" spans="1:9" x14ac:dyDescent="0.25">
      <c r="A2287"/>
      <c r="D2287"/>
      <c r="I2287"/>
    </row>
    <row r="2288" spans="1:9" x14ac:dyDescent="0.25">
      <c r="A2288"/>
      <c r="D2288"/>
      <c r="I2288"/>
    </row>
    <row r="2289" spans="1:9" x14ac:dyDescent="0.25">
      <c r="A2289"/>
      <c r="D2289"/>
      <c r="I2289"/>
    </row>
    <row r="2290" spans="1:9" x14ac:dyDescent="0.25">
      <c r="A2290"/>
      <c r="D2290"/>
      <c r="I2290"/>
    </row>
    <row r="2291" spans="1:9" x14ac:dyDescent="0.25">
      <c r="A2291"/>
      <c r="D2291"/>
      <c r="I2291"/>
    </row>
    <row r="2292" spans="1:9" x14ac:dyDescent="0.25">
      <c r="A2292"/>
      <c r="D2292"/>
      <c r="I2292"/>
    </row>
    <row r="2293" spans="1:9" x14ac:dyDescent="0.25">
      <c r="A2293"/>
      <c r="D2293"/>
      <c r="I2293"/>
    </row>
    <row r="2294" spans="1:9" x14ac:dyDescent="0.25">
      <c r="A2294"/>
      <c r="D2294"/>
      <c r="I2294"/>
    </row>
    <row r="2295" spans="1:9" x14ac:dyDescent="0.25">
      <c r="A2295"/>
      <c r="D2295"/>
      <c r="I2295"/>
    </row>
    <row r="2296" spans="1:9" x14ac:dyDescent="0.25">
      <c r="A2296"/>
      <c r="D2296"/>
      <c r="I2296"/>
    </row>
    <row r="2297" spans="1:9" x14ac:dyDescent="0.25">
      <c r="A2297"/>
      <c r="D2297"/>
      <c r="I2297"/>
    </row>
    <row r="2298" spans="1:9" x14ac:dyDescent="0.25">
      <c r="A2298"/>
      <c r="D2298"/>
      <c r="I2298"/>
    </row>
    <row r="2299" spans="1:9" x14ac:dyDescent="0.25">
      <c r="A2299"/>
      <c r="D2299"/>
      <c r="I2299"/>
    </row>
    <row r="2300" spans="1:9" x14ac:dyDescent="0.25">
      <c r="A2300"/>
      <c r="D2300"/>
      <c r="I2300"/>
    </row>
    <row r="2301" spans="1:9" x14ac:dyDescent="0.25">
      <c r="A2301"/>
      <c r="D2301"/>
      <c r="I2301"/>
    </row>
    <row r="2302" spans="1:9" x14ac:dyDescent="0.25">
      <c r="A2302"/>
      <c r="D2302"/>
      <c r="I2302"/>
    </row>
    <row r="2303" spans="1:9" x14ac:dyDescent="0.25">
      <c r="A2303"/>
      <c r="D2303"/>
      <c r="I2303"/>
    </row>
    <row r="2304" spans="1:9" x14ac:dyDescent="0.25">
      <c r="A2304"/>
      <c r="D2304"/>
      <c r="I2304"/>
    </row>
    <row r="2305" spans="1:9" x14ac:dyDescent="0.25">
      <c r="A2305"/>
      <c r="D2305"/>
      <c r="I2305"/>
    </row>
    <row r="2306" spans="1:9" x14ac:dyDescent="0.25">
      <c r="A2306"/>
      <c r="D2306"/>
      <c r="I2306"/>
    </row>
    <row r="2307" spans="1:9" x14ac:dyDescent="0.25">
      <c r="A2307"/>
      <c r="D2307"/>
      <c r="I2307"/>
    </row>
    <row r="2308" spans="1:9" x14ac:dyDescent="0.25">
      <c r="A2308"/>
      <c r="D2308"/>
      <c r="I2308"/>
    </row>
    <row r="2309" spans="1:9" x14ac:dyDescent="0.25">
      <c r="A2309"/>
      <c r="D2309"/>
      <c r="I2309"/>
    </row>
    <row r="2310" spans="1:9" x14ac:dyDescent="0.25">
      <c r="A2310"/>
      <c r="D2310"/>
      <c r="I2310"/>
    </row>
    <row r="2311" spans="1:9" x14ac:dyDescent="0.25">
      <c r="A2311"/>
      <c r="D2311"/>
      <c r="I2311"/>
    </row>
    <row r="2312" spans="1:9" x14ac:dyDescent="0.25">
      <c r="A2312"/>
      <c r="D2312"/>
      <c r="I2312"/>
    </row>
    <row r="2313" spans="1:9" x14ac:dyDescent="0.25">
      <c r="A2313"/>
      <c r="D2313"/>
      <c r="I2313"/>
    </row>
    <row r="2314" spans="1:9" x14ac:dyDescent="0.25">
      <c r="A2314"/>
      <c r="D2314"/>
      <c r="I2314"/>
    </row>
    <row r="2315" spans="1:9" x14ac:dyDescent="0.25">
      <c r="A2315"/>
      <c r="D2315"/>
      <c r="I2315"/>
    </row>
    <row r="2316" spans="1:9" x14ac:dyDescent="0.25">
      <c r="A2316"/>
      <c r="D2316"/>
      <c r="I2316"/>
    </row>
    <row r="2317" spans="1:9" x14ac:dyDescent="0.25">
      <c r="A2317"/>
      <c r="D2317"/>
      <c r="I2317"/>
    </row>
    <row r="2318" spans="1:9" x14ac:dyDescent="0.25">
      <c r="A2318"/>
      <c r="D2318"/>
      <c r="I2318"/>
    </row>
    <row r="2319" spans="1:9" x14ac:dyDescent="0.25">
      <c r="A2319"/>
      <c r="D2319"/>
      <c r="I2319"/>
    </row>
    <row r="2320" spans="1:9" x14ac:dyDescent="0.25">
      <c r="A2320"/>
      <c r="D2320"/>
      <c r="I2320"/>
    </row>
    <row r="2321" spans="1:9" x14ac:dyDescent="0.25">
      <c r="A2321"/>
      <c r="D2321"/>
      <c r="I2321"/>
    </row>
    <row r="2322" spans="1:9" x14ac:dyDescent="0.25">
      <c r="A2322"/>
      <c r="D2322"/>
      <c r="I2322"/>
    </row>
    <row r="2323" spans="1:9" x14ac:dyDescent="0.25">
      <c r="A2323"/>
      <c r="D2323"/>
      <c r="I2323"/>
    </row>
    <row r="2324" spans="1:9" x14ac:dyDescent="0.25">
      <c r="A2324"/>
      <c r="D2324"/>
      <c r="I2324"/>
    </row>
    <row r="2325" spans="1:9" x14ac:dyDescent="0.25">
      <c r="A2325"/>
      <c r="D2325"/>
      <c r="I2325"/>
    </row>
    <row r="2326" spans="1:9" x14ac:dyDescent="0.25">
      <c r="A2326"/>
      <c r="D2326"/>
      <c r="I2326"/>
    </row>
    <row r="2327" spans="1:9" x14ac:dyDescent="0.25">
      <c r="A2327"/>
      <c r="D2327"/>
      <c r="I2327"/>
    </row>
    <row r="2328" spans="1:9" x14ac:dyDescent="0.25">
      <c r="A2328"/>
      <c r="D2328"/>
      <c r="I2328"/>
    </row>
    <row r="2329" spans="1:9" x14ac:dyDescent="0.25">
      <c r="A2329"/>
      <c r="D2329"/>
      <c r="I2329"/>
    </row>
    <row r="2330" spans="1:9" x14ac:dyDescent="0.25">
      <c r="A2330"/>
      <c r="D2330"/>
      <c r="I2330"/>
    </row>
    <row r="2331" spans="1:9" x14ac:dyDescent="0.25">
      <c r="A2331"/>
      <c r="D2331"/>
      <c r="I2331"/>
    </row>
    <row r="2332" spans="1:9" x14ac:dyDescent="0.25">
      <c r="A2332"/>
      <c r="D2332"/>
      <c r="I2332"/>
    </row>
    <row r="2333" spans="1:9" x14ac:dyDescent="0.25">
      <c r="A2333"/>
      <c r="D2333"/>
      <c r="I2333"/>
    </row>
    <row r="2334" spans="1:9" x14ac:dyDescent="0.25">
      <c r="A2334"/>
      <c r="D2334"/>
      <c r="I2334"/>
    </row>
    <row r="2335" spans="1:9" x14ac:dyDescent="0.25">
      <c r="A2335"/>
      <c r="D2335"/>
      <c r="I2335"/>
    </row>
    <row r="2336" spans="1:9" x14ac:dyDescent="0.25">
      <c r="A2336"/>
      <c r="D2336"/>
      <c r="I2336"/>
    </row>
    <row r="2337" spans="1:9" x14ac:dyDescent="0.25">
      <c r="A2337"/>
      <c r="D2337"/>
      <c r="I2337"/>
    </row>
    <row r="2338" spans="1:9" x14ac:dyDescent="0.25">
      <c r="A2338"/>
      <c r="D2338"/>
      <c r="I2338"/>
    </row>
    <row r="2339" spans="1:9" x14ac:dyDescent="0.25">
      <c r="A2339"/>
      <c r="D2339"/>
      <c r="I2339"/>
    </row>
    <row r="2340" spans="1:9" x14ac:dyDescent="0.25">
      <c r="A2340"/>
      <c r="D2340"/>
      <c r="I2340"/>
    </row>
    <row r="2341" spans="1:9" x14ac:dyDescent="0.25">
      <c r="A2341"/>
      <c r="D2341"/>
      <c r="I2341"/>
    </row>
    <row r="2342" spans="1:9" x14ac:dyDescent="0.25">
      <c r="A2342"/>
      <c r="D2342"/>
      <c r="I2342"/>
    </row>
    <row r="2343" spans="1:9" x14ac:dyDescent="0.25">
      <c r="A2343"/>
      <c r="D2343"/>
      <c r="I2343"/>
    </row>
    <row r="2344" spans="1:9" x14ac:dyDescent="0.25">
      <c r="A2344"/>
      <c r="D2344"/>
      <c r="I2344"/>
    </row>
    <row r="2345" spans="1:9" x14ac:dyDescent="0.25">
      <c r="A2345"/>
      <c r="D2345"/>
      <c r="I2345"/>
    </row>
    <row r="2346" spans="1:9" x14ac:dyDescent="0.25">
      <c r="A2346"/>
      <c r="D2346"/>
      <c r="I2346"/>
    </row>
    <row r="2347" spans="1:9" x14ac:dyDescent="0.25">
      <c r="A2347"/>
      <c r="D2347"/>
      <c r="I2347"/>
    </row>
    <row r="2348" spans="1:9" x14ac:dyDescent="0.25">
      <c r="A2348"/>
      <c r="D2348"/>
      <c r="I2348"/>
    </row>
    <row r="2349" spans="1:9" x14ac:dyDescent="0.25">
      <c r="A2349"/>
      <c r="D2349"/>
      <c r="I2349"/>
    </row>
    <row r="2350" spans="1:9" x14ac:dyDescent="0.25">
      <c r="A2350"/>
      <c r="D2350"/>
      <c r="I2350"/>
    </row>
    <row r="2351" spans="1:9" x14ac:dyDescent="0.25">
      <c r="A2351"/>
      <c r="D2351"/>
      <c r="I2351"/>
    </row>
    <row r="2352" spans="1:9" x14ac:dyDescent="0.25">
      <c r="A2352"/>
      <c r="D2352"/>
      <c r="I2352"/>
    </row>
    <row r="2353" spans="1:9" x14ac:dyDescent="0.25">
      <c r="A2353"/>
      <c r="D2353"/>
      <c r="I2353"/>
    </row>
    <row r="2354" spans="1:9" x14ac:dyDescent="0.25">
      <c r="A2354"/>
      <c r="D2354"/>
      <c r="I2354"/>
    </row>
    <row r="2355" spans="1:9" x14ac:dyDescent="0.25">
      <c r="A2355"/>
      <c r="D2355"/>
      <c r="I2355"/>
    </row>
    <row r="2356" spans="1:9" x14ac:dyDescent="0.25">
      <c r="A2356"/>
      <c r="D2356"/>
      <c r="I2356"/>
    </row>
    <row r="2357" spans="1:9" x14ac:dyDescent="0.25">
      <c r="A2357"/>
      <c r="D2357"/>
      <c r="I2357"/>
    </row>
    <row r="2358" spans="1:9" x14ac:dyDescent="0.25">
      <c r="A2358"/>
      <c r="D2358"/>
      <c r="I2358"/>
    </row>
    <row r="2359" spans="1:9" x14ac:dyDescent="0.25">
      <c r="A2359"/>
      <c r="D2359"/>
      <c r="I2359"/>
    </row>
    <row r="2360" spans="1:9" x14ac:dyDescent="0.25">
      <c r="A2360"/>
      <c r="D2360"/>
      <c r="I2360"/>
    </row>
    <row r="2361" spans="1:9" x14ac:dyDescent="0.25">
      <c r="A2361"/>
      <c r="D2361"/>
      <c r="I2361"/>
    </row>
    <row r="2362" spans="1:9" x14ac:dyDescent="0.25">
      <c r="A2362"/>
      <c r="D2362"/>
      <c r="I2362"/>
    </row>
    <row r="2363" spans="1:9" x14ac:dyDescent="0.25">
      <c r="A2363"/>
      <c r="D2363"/>
      <c r="I2363"/>
    </row>
    <row r="2364" spans="1:9" x14ac:dyDescent="0.25">
      <c r="A2364"/>
      <c r="D2364"/>
      <c r="I2364"/>
    </row>
    <row r="2365" spans="1:9" x14ac:dyDescent="0.25">
      <c r="A2365"/>
      <c r="D2365"/>
      <c r="I2365"/>
    </row>
    <row r="2366" spans="1:9" x14ac:dyDescent="0.25">
      <c r="A2366"/>
      <c r="D2366"/>
      <c r="I2366"/>
    </row>
    <row r="2367" spans="1:9" x14ac:dyDescent="0.25">
      <c r="A2367"/>
      <c r="D2367"/>
      <c r="I2367"/>
    </row>
    <row r="2368" spans="1:9" x14ac:dyDescent="0.25">
      <c r="A2368"/>
      <c r="D2368"/>
      <c r="I2368"/>
    </row>
    <row r="2369" spans="1:9" x14ac:dyDescent="0.25">
      <c r="A2369"/>
      <c r="D2369"/>
      <c r="I2369"/>
    </row>
    <row r="2370" spans="1:9" x14ac:dyDescent="0.25">
      <c r="A2370"/>
      <c r="D2370"/>
      <c r="I2370"/>
    </row>
    <row r="2371" spans="1:9" x14ac:dyDescent="0.25">
      <c r="A2371"/>
      <c r="D2371"/>
      <c r="I2371"/>
    </row>
    <row r="2372" spans="1:9" x14ac:dyDescent="0.25">
      <c r="A2372"/>
      <c r="D2372"/>
      <c r="I2372"/>
    </row>
    <row r="2373" spans="1:9" x14ac:dyDescent="0.25">
      <c r="A2373"/>
      <c r="D2373"/>
      <c r="I2373"/>
    </row>
    <row r="2374" spans="1:9" x14ac:dyDescent="0.25">
      <c r="A2374"/>
      <c r="D2374"/>
      <c r="I2374"/>
    </row>
    <row r="2375" spans="1:9" x14ac:dyDescent="0.25">
      <c r="A2375"/>
      <c r="D2375"/>
      <c r="I2375"/>
    </row>
    <row r="2376" spans="1:9" x14ac:dyDescent="0.25">
      <c r="A2376"/>
      <c r="D2376"/>
      <c r="I2376"/>
    </row>
    <row r="2377" spans="1:9" x14ac:dyDescent="0.25">
      <c r="A2377"/>
      <c r="D2377"/>
      <c r="I2377"/>
    </row>
    <row r="2378" spans="1:9" x14ac:dyDescent="0.25">
      <c r="A2378"/>
      <c r="D2378"/>
      <c r="I2378"/>
    </row>
    <row r="2379" spans="1:9" x14ac:dyDescent="0.25">
      <c r="A2379"/>
      <c r="D2379"/>
      <c r="I2379"/>
    </row>
    <row r="2380" spans="1:9" x14ac:dyDescent="0.25">
      <c r="A2380"/>
      <c r="D2380"/>
      <c r="I2380"/>
    </row>
    <row r="2381" spans="1:9" x14ac:dyDescent="0.25">
      <c r="A2381"/>
      <c r="D2381"/>
      <c r="I2381"/>
    </row>
    <row r="2382" spans="1:9" x14ac:dyDescent="0.25">
      <c r="A2382"/>
      <c r="D2382"/>
      <c r="I2382"/>
    </row>
    <row r="2383" spans="1:9" x14ac:dyDescent="0.25">
      <c r="A2383"/>
      <c r="D2383"/>
      <c r="I2383"/>
    </row>
    <row r="2384" spans="1:9" x14ac:dyDescent="0.25">
      <c r="A2384"/>
      <c r="D2384"/>
      <c r="I2384"/>
    </row>
    <row r="2385" spans="1:9" x14ac:dyDescent="0.25">
      <c r="A2385"/>
      <c r="D2385"/>
      <c r="I2385"/>
    </row>
    <row r="2386" spans="1:9" x14ac:dyDescent="0.25">
      <c r="A2386"/>
      <c r="D2386"/>
      <c r="I2386"/>
    </row>
    <row r="2387" spans="1:9" x14ac:dyDescent="0.25">
      <c r="A2387"/>
      <c r="D2387"/>
      <c r="I2387"/>
    </row>
    <row r="2388" spans="1:9" x14ac:dyDescent="0.25">
      <c r="A2388"/>
      <c r="D2388"/>
      <c r="I2388"/>
    </row>
    <row r="2389" spans="1:9" x14ac:dyDescent="0.25">
      <c r="A2389"/>
      <c r="D2389"/>
      <c r="I2389"/>
    </row>
    <row r="2390" spans="1:9" x14ac:dyDescent="0.25">
      <c r="A2390"/>
      <c r="D2390"/>
      <c r="I2390"/>
    </row>
    <row r="2391" spans="1:9" x14ac:dyDescent="0.25">
      <c r="A2391"/>
      <c r="D2391"/>
      <c r="I2391"/>
    </row>
  </sheetData>
  <pageMargins left="0.7" right="0.7" top="0.75" bottom="0.75" header="0.3" footer="0.3"/>
</worksheet>
</file>

<file path=customUI/_rels/customUI.xml.rels><?xml version="1.0" encoding="UTF-8" standalone="yes"?>
<Relationships xmlns="http://schemas.openxmlformats.org/package/2006/relationships"><Relationship Id="start" Type="http://schemas.openxmlformats.org/officeDocument/2006/relationships/image" Target="images/start.png"/><Relationship Id="morning" Type="http://schemas.openxmlformats.org/officeDocument/2006/relationships/image" Target="images/morning.png"/><Relationship Id="stop" Type="http://schemas.openxmlformats.org/officeDocument/2006/relationships/image" Target="images/stop.png"/><Relationship Id="afternoon" Type="http://schemas.openxmlformats.org/officeDocument/2006/relationships/image" Target="images/afternoon.jpg"/></Relationships>
</file>

<file path=customUI/customUI.xml><?xml version="1.0" encoding="utf-8"?>
<customUI xmlns="http://schemas.microsoft.com/office/2006/01/customui">
  <ribbon startFromScratch="false">
    <tabs>
      <tab id="customTab" label="Attendance">
        <group id="customGroup" label="ZKTECO">
          <button id="customButton1" label="start clock" image="start" size="large" onAction="Callback1"/>
          <button id="customButton2" label="stop clock" image="stop" size="large" onAction="Callback2"/>
          <button id="customButton3" label="update morning" image="morning" size="large" onAction="Callback3"/>
          <button id="customButton4" label="update afternoon" image="afternoon" size="large" onAction="Callback4"/>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DASHBOARD</vt:lpstr>
      <vt:lpstr>Att table</vt:lpstr>
      <vt:lpstr>Analyze</vt:lpstr>
      <vt:lpstr>Details</vt:lpstr>
      <vt:lpstr>Employees information</vt:lpstr>
      <vt:lpstr>Exception</vt:lpstr>
      <vt:lpstr>Chart Data </vt:lpstr>
      <vt:lpstr>data_sql</vt:lpstr>
      <vt:lpstr>DATA_LOG</vt:lpstr>
      <vt:lpstr>IDMACHINE</vt:lpstr>
      <vt:lpstr>ma_phong_ban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Nguyen</dc:creator>
  <cp:lastModifiedBy>Minh Nguyen</cp:lastModifiedBy>
  <cp:lastPrinted>2019-08-01T06:42:42Z</cp:lastPrinted>
  <dcterms:created xsi:type="dcterms:W3CDTF">2019-06-11T07:19:12Z</dcterms:created>
  <dcterms:modified xsi:type="dcterms:W3CDTF">2020-09-07T09:01:40Z</dcterms:modified>
</cp:coreProperties>
</file>